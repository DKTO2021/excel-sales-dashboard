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drawings/drawing3.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iane\Downloads\"/>
    </mc:Choice>
  </mc:AlternateContent>
  <xr:revisionPtr revIDLastSave="0" documentId="13_ncr:1_{1094B0BC-1CC7-4C2C-87AC-E3C286413A61}" xr6:coauthVersionLast="47" xr6:coauthVersionMax="47" xr10:uidLastSave="{00000000-0000-0000-0000-000000000000}"/>
  <bookViews>
    <workbookView xWindow="28680" yWindow="-120" windowWidth="29040" windowHeight="15720" firstSheet="1" activeTab="7" xr2:uid="{9AD6A5FF-1AFA-409E-9230-26AD58FC2DBB}"/>
  </bookViews>
  <sheets>
    <sheet name="Sales by Region" sheetId="3" r:id="rId1"/>
    <sheet name="Dashboard" sheetId="10" r:id="rId2"/>
    <sheet name="Sheet6" sheetId="9" r:id="rId3"/>
    <sheet name="Sales by Salesperson" sheetId="5" r:id="rId4"/>
    <sheet name="Profit by Product Category" sheetId="6" r:id="rId5"/>
    <sheet name="Monthly Sales Trend" sheetId="7" r:id="rId6"/>
    <sheet name="Payment Mode Breakdown" sheetId="8" r:id="rId7"/>
    <sheet name="Data" sheetId="1" r:id="rId8"/>
  </sheets>
  <definedNames>
    <definedName name="_xlnm._FilterDatabase" localSheetId="7" hidden="1">Data!$A$1:$L$30</definedName>
    <definedName name="_xlchart.v5.0" hidden="1">Sheet6!$A$1:$C$1</definedName>
    <definedName name="_xlchart.v5.1" hidden="1">Sheet6!$A$2:$C$5</definedName>
    <definedName name="_xlchart.v5.2" hidden="1">Sheet6!$D$1</definedName>
    <definedName name="_xlchart.v5.3" hidden="1">Sheet6!$D$2:$D$5</definedName>
    <definedName name="_xlchart.v5.4" hidden="1">Sheet6!$A$1:$C$1</definedName>
    <definedName name="_xlchart.v5.5" hidden="1">Sheet6!$A$2:$C$5</definedName>
    <definedName name="_xlchart.v5.6" hidden="1">Sheet6!$D$1</definedName>
    <definedName name="_xlchart.v5.7" hidden="1">Sheet6!$D$2:$D$5</definedName>
    <definedName name="NativeTimeline_Date">#N/A</definedName>
    <definedName name="Slicer_Region">#N/A</definedName>
    <definedName name="Slicer_Salesperson">#N/A</definedName>
  </definedNames>
  <calcPr calcId="191029"/>
  <pivotCaches>
    <pivotCache cacheId="1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94" i="1" l="1"/>
  <c r="B99" i="1" a="1"/>
  <c r="B99" i="1" s="1"/>
  <c r="B104" i="1" a="1"/>
  <c r="B104" i="1" s="1"/>
  <c r="I33" i="1"/>
  <c r="G3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2" i="1"/>
  <c r="Q42" i="1"/>
  <c r="K3" i="1"/>
  <c r="K4" i="1"/>
  <c r="K5" i="1"/>
  <c r="K6" i="1"/>
  <c r="K7" i="1"/>
  <c r="K8" i="1"/>
  <c r="K9" i="1"/>
  <c r="K10" i="1"/>
  <c r="K11" i="1"/>
  <c r="Q4" i="1" s="1"/>
  <c r="J4" i="1" s="1"/>
  <c r="K12" i="1"/>
  <c r="K13" i="1"/>
  <c r="K14" i="1"/>
  <c r="K15" i="1"/>
  <c r="K16" i="1"/>
  <c r="K17" i="1"/>
  <c r="K18" i="1"/>
  <c r="K19" i="1"/>
  <c r="K20" i="1"/>
  <c r="K21" i="1"/>
  <c r="K22" i="1"/>
  <c r="K23" i="1"/>
  <c r="K24" i="1"/>
  <c r="K25" i="1"/>
  <c r="K26" i="1"/>
  <c r="K27" i="1"/>
  <c r="K28" i="1"/>
  <c r="K29" i="1"/>
  <c r="K30" i="1"/>
  <c r="K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2" i="1"/>
  <c r="Q2" i="1" l="1"/>
  <c r="J18" i="1" s="1"/>
  <c r="Q3" i="1"/>
  <c r="J3" i="1" s="1"/>
  <c r="J17" i="1"/>
  <c r="J16" i="1"/>
  <c r="J15" i="1"/>
  <c r="J30" i="1"/>
  <c r="J14" i="1"/>
  <c r="J29" i="1"/>
  <c r="J13" i="1"/>
  <c r="J28" i="1"/>
  <c r="J12" i="1"/>
  <c r="J27" i="1"/>
  <c r="J11" i="1"/>
  <c r="J26" i="1"/>
  <c r="J10" i="1"/>
  <c r="J9" i="1"/>
  <c r="J24" i="1"/>
  <c r="J8" i="1"/>
  <c r="J23" i="1"/>
  <c r="J22" i="1"/>
  <c r="J7" i="1"/>
  <c r="J21" i="1"/>
  <c r="J6" i="1"/>
  <c r="J20" i="1"/>
  <c r="J5" i="1"/>
  <c r="J19" i="1"/>
  <c r="J2" i="1" l="1"/>
  <c r="Q38" i="1"/>
  <c r="J2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<sst xmlns="http://schemas.openxmlformats.org/spreadsheetml/2006/main" count="285" uniqueCount="145">
  <si>
    <t>Order_ID</t>
  </si>
  <si>
    <t>Date</t>
  </si>
  <si>
    <t>Region</t>
  </si>
  <si>
    <t>Salesperson</t>
  </si>
  <si>
    <t>Product_Category</t>
  </si>
  <si>
    <t>Order_Value</t>
  </si>
  <si>
    <t>Units_Sold</t>
  </si>
  <si>
    <t>Profit</t>
  </si>
  <si>
    <t>Payment_Mode</t>
  </si>
  <si>
    <t>East</t>
  </si>
  <si>
    <t>Alice</t>
  </si>
  <si>
    <t>Electronics</t>
  </si>
  <si>
    <t>Credit Card</t>
  </si>
  <si>
    <t>West</t>
  </si>
  <si>
    <t>Bob</t>
  </si>
  <si>
    <t>Furniture</t>
  </si>
  <si>
    <t>North</t>
  </si>
  <si>
    <t>Stationery</t>
  </si>
  <si>
    <t>Debit Card</t>
  </si>
  <si>
    <t>South</t>
  </si>
  <si>
    <t>David</t>
  </si>
  <si>
    <t>Carol</t>
  </si>
  <si>
    <t>Cash</t>
  </si>
  <si>
    <t>Auto Value</t>
  </si>
  <si>
    <t>Added a Recalculated _Orde_Value column applied formula =IF(F3="", G3*J3, F3) then copied column into Order_Value and deledted Recalculated versionto fill in missing values.</t>
  </si>
  <si>
    <t>Cost_Per_Unit</t>
  </si>
  <si>
    <t>Profit contains missing values in X rows. These were left as missing because no derivation rule was provided.</t>
  </si>
  <si>
    <t>Profit_Margin</t>
  </si>
  <si>
    <t>Category</t>
  </si>
  <si>
    <t>Avg_Margin</t>
  </si>
  <si>
    <t>Category_Margin</t>
  </si>
  <si>
    <r>
      <t xml:space="preserve">Added a </t>
    </r>
    <r>
      <rPr>
        <b/>
        <sz val="11"/>
        <color theme="1"/>
        <rFont val="Aptos Narrow"/>
        <family val="2"/>
        <scheme val="minor"/>
      </rPr>
      <t>Category_Margin</t>
    </r>
    <r>
      <rPr>
        <sz val="11"/>
        <color theme="1"/>
        <rFont val="Aptos Narrow"/>
        <family val="2"/>
        <scheme val="minor"/>
      </rPr>
      <t xml:space="preserve"> column using</t>
    </r>
  </si>
  <si>
    <t>to map each Product_Category to its average margin.</t>
  </si>
  <si>
    <r>
      <t xml:space="preserve">Inserted a helper column next to </t>
    </r>
    <r>
      <rPr>
        <b/>
        <sz val="11"/>
        <color theme="1"/>
        <rFont val="Aptos Narrow"/>
        <family val="2"/>
        <scheme val="minor"/>
      </rPr>
      <t>Profit</t>
    </r>
    <r>
      <rPr>
        <sz val="11"/>
        <color theme="1"/>
        <rFont val="Aptos Narrow"/>
        <family val="2"/>
        <scheme val="minor"/>
      </rPr>
      <t xml:space="preserve"> and applied:</t>
    </r>
  </si>
  <si>
    <t>This preserved existing Profit values and calculated missing ones using:</t>
  </si>
  <si>
    <r>
      <t>Order_Value × Category_Margin</t>
    </r>
    <r>
      <rPr>
        <sz val="11"/>
        <color theme="1"/>
        <rFont val="Aptos Narrow"/>
        <family val="2"/>
        <scheme val="minor"/>
      </rPr>
      <t>.</t>
    </r>
  </si>
  <si>
    <r>
      <t xml:space="preserve">Copied the helper column, pasted values into the original </t>
    </r>
    <r>
      <rPr>
        <b/>
        <sz val="11"/>
        <color theme="1"/>
        <rFont val="Aptos Narrow"/>
        <family val="2"/>
        <scheme val="minor"/>
      </rPr>
      <t>Profit</t>
    </r>
    <r>
      <rPr>
        <sz val="11"/>
        <color theme="1"/>
        <rFont val="Aptos Narrow"/>
        <family val="2"/>
        <scheme val="minor"/>
      </rPr>
      <t xml:space="preserve"> column, and deleted the helper column to finalize the filled values.</t>
    </r>
  </si>
  <si>
    <t>Sales</t>
  </si>
  <si>
    <t>Sales_Category</t>
  </si>
  <si>
    <t>Row Labels</t>
  </si>
  <si>
    <t>Sum of Profit</t>
  </si>
  <si>
    <t>Grand Total</t>
  </si>
  <si>
    <t>Count of Order_ID</t>
  </si>
  <si>
    <t>Sum of Order_Value</t>
  </si>
  <si>
    <t>Jan</t>
  </si>
  <si>
    <t>Feb</t>
  </si>
  <si>
    <t>Mar</t>
  </si>
  <si>
    <t>2024</t>
  </si>
  <si>
    <t>Country</t>
  </si>
  <si>
    <t>USA</t>
  </si>
  <si>
    <t>States</t>
  </si>
  <si>
    <t>California</t>
  </si>
  <si>
    <t>Oregon</t>
  </si>
  <si>
    <t>Texas</t>
  </si>
  <si>
    <t>Florida</t>
  </si>
  <si>
    <t>Jul</t>
  </si>
  <si>
    <t>Kpi's</t>
  </si>
  <si>
    <t>Total Sales</t>
  </si>
  <si>
    <t>Total Sales Average</t>
  </si>
  <si>
    <t>Max Profit</t>
  </si>
  <si>
    <t>Walkthrough Summary – Sales Dashboard Project</t>
  </si>
  <si>
    <t>1. Objective of the Project</t>
  </si>
  <si>
    <t>The goal of this project was to clean and prepare a sales dataset and create an interactive dashboard that allows users to quickly analyze sales performance across regions, products, and salespeople.</t>
  </si>
  <si>
    <t>The dashboard provides insights into:</t>
  </si>
  <si>
    <t>Total sales performance</t>
  </si>
  <si>
    <t>Profit by product category</t>
  </si>
  <si>
    <t>Sales trends over time</t>
  </si>
  <si>
    <t>Regional sales distribution</t>
  </si>
  <si>
    <t>Payment method usage</t>
  </si>
  <si>
    <t>Sales performance by salesperson</t>
  </si>
  <si>
    <t>This enables decision-makers to identify trends and make data-driven decisions.</t>
  </si>
  <si>
    <t>2. Data Preparation</t>
  </si>
  <si>
    <t>The first step involved preparing the dataset in Excel to ensure it was suitable for analysis.</t>
  </si>
  <si>
    <t>Key steps included:</t>
  </si>
  <si>
    <t>Data Cleaning</t>
  </si>
  <si>
    <t>Removed duplicate rows.</t>
  </si>
  <si>
    <t>Checked spelling errors and corrected inconsistencies.</t>
  </si>
  <si>
    <t>Removed extra whitespace in text fields.</t>
  </si>
  <si>
    <t>Handling Missing Data</t>
  </si>
  <si>
    <t>Filled missing categorical values such as region or payment mode where possible.</t>
  </si>
  <si>
    <t>Used formulas and assumptions to estimate missing numeric values when necessary.</t>
  </si>
  <si>
    <t>Data Transformation</t>
  </si>
  <si>
    <t>I created additional calculated columns to support analysis:</t>
  </si>
  <si>
    <t>Month-Year column</t>
  </si>
  <si>
    <t>Used to analyze trends over time.</t>
  </si>
  <si>
    <t>Example formula:</t>
  </si>
  <si>
    <t>Profit Margin</t>
  </si>
  <si>
    <t>Used to measure profitability.</t>
  </si>
  <si>
    <t>Sales Category</t>
  </si>
  <si>
    <t>Used to group orders into High, Medium, or Low sales tiers.</t>
  </si>
  <si>
    <t>IF(Order_Value&gt;1000,"Medium","Low"))</t>
  </si>
  <si>
    <t>These derived fields allowed for better segmentation and trend analysis.</t>
  </si>
  <si>
    <t>3. Exploratory Analysis Using Pivot Tables</t>
  </si>
  <si>
    <t>After preparing the data, I created several pivot tables in Excel to summarize the dataset.</t>
  </si>
  <si>
    <t>The pivot tables included:</t>
  </si>
  <si>
    <t>Sales by Region</t>
  </si>
  <si>
    <t>Used to compare total revenue across geographic areas.</t>
  </si>
  <si>
    <t>Sales by Salesperson</t>
  </si>
  <si>
    <t>Used to identify top performing sales representatives.</t>
  </si>
  <si>
    <t>Profit by Product Category</t>
  </si>
  <si>
    <t>Allowed analysis of which product categories generate the most profit.</t>
  </si>
  <si>
    <t>Monthly Sales Trend</t>
  </si>
  <si>
    <t>Displayed how sales change over time.</t>
  </si>
  <si>
    <t>Payment Mode Breakdown</t>
  </si>
  <si>
    <t>Showed how customers prefer to pay.</t>
  </si>
  <si>
    <t>These pivot tables formed the foundation for the visualizations.</t>
  </si>
  <si>
    <t>4. Visualization and Dashboard Creation</t>
  </si>
  <si>
    <t>Next, I created visual charts to make the insights easier to understand.</t>
  </si>
  <si>
    <t>The dashboard includes:</t>
  </si>
  <si>
    <t>Column Chart – Total Sales by Region</t>
  </si>
  <si>
    <t>Allows quick comparison between geographic markets.</t>
  </si>
  <si>
    <t>Line Chart – Monthly Sales Trend</t>
  </si>
  <si>
    <t>Highlights increases or decreases in sales over time.</t>
  </si>
  <si>
    <t>Bar Chart – Profit by Product Category</t>
  </si>
  <si>
    <t>Shows which product categories contribute most to profit.</t>
  </si>
  <si>
    <t>Pie Chart – Payment Mode Distribution</t>
  </si>
  <si>
    <t>Displays the proportion of sales by payment type.</t>
  </si>
  <si>
    <t>Bar Chart – Sales by Salesperson</t>
  </si>
  <si>
    <t>Ranks the sales performance of the team.</t>
  </si>
  <si>
    <t>5. Dashboard Interactivity</t>
  </si>
  <si>
    <t>To make the dashboard more interactive, I added filters and controls.</t>
  </si>
  <si>
    <t>These include:</t>
  </si>
  <si>
    <t>Slicers / Filters</t>
  </si>
  <si>
    <t>Users can filter the dashboard by:</t>
  </si>
  <si>
    <t>Product category</t>
  </si>
  <si>
    <t>Date Timeline</t>
  </si>
  <si>
    <t>Allows users to view sales trends for different time periods.</t>
  </si>
  <si>
    <t>This makes the dashboard dynamic and enables users to explore the data from multiple perspectives.</t>
  </si>
  <si>
    <t>6. Dashboard Design</t>
  </si>
  <si>
    <t>The layout was structured to make the dashboard easy to read.</t>
  </si>
  <si>
    <t>Top Section</t>
  </si>
  <si>
    <t>Key metrics and summary information.</t>
  </si>
  <si>
    <t>Middle Section</t>
  </si>
  <si>
    <t>Major trend visualizations such as sales by region and monthly sales.</t>
  </si>
  <si>
    <t>Bottom Section</t>
  </si>
  <si>
    <t>Detailed breakdowns such as payment methods and product categories.</t>
  </si>
  <si>
    <t>This layout helps users quickly understand high-level performance before diving into detailed insights.</t>
  </si>
  <si>
    <t>7. Key Insights from the Dashboard</t>
  </si>
  <si>
    <t>Using the dashboard, users can quickly identify:</t>
  </si>
  <si>
    <t>Which regions generate the most sales</t>
  </si>
  <si>
    <t>Which product categories produce the highest profit</t>
  </si>
  <si>
    <t>Which salespeople are top performers</t>
  </si>
  <si>
    <t>How sales change over time</t>
  </si>
  <si>
    <t>Which payment methods customers prefer</t>
  </si>
  <si>
    <t>These insights can help support better sales strategy and resource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</si>
</sst>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quot;$&quot;#,##0.0"/>
    <numFmt numFmtId="166" formatCode="_(&quot;$&quot;* #,##0_);_(&quot;$&quot;* \(#,##0\);_(&quot;$&quot;* &quot;-&quot;??_);_(@_)"/>
  </numFmts>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24"/>
      <color theme="1"/>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Alignment="1">
      <alignment horizontal="right"/>
    </xf>
    <xf numFmtId="9" fontId="0" fillId="0" borderId="0" xfId="1" applyFont="1"/>
    <xf numFmtId="164" fontId="0" fillId="0" borderId="0" xfId="1" applyNumberFormat="1" applyFont="1"/>
    <xf numFmtId="0" fontId="18" fillId="0" borderId="0" xfId="0" applyFont="1"/>
    <xf numFmtId="0" fontId="16"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166" fontId="0" fillId="0" borderId="0" xfId="43" applyNumberFormat="1" applyFont="1"/>
    <xf numFmtId="0" fontId="0" fillId="0" borderId="0" xfId="0" applyAlignment="1">
      <alignment vertical="center"/>
    </xf>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left" vertical="center" indent="1"/>
    </xf>
    <xf numFmtId="0" fontId="18" fillId="0" borderId="0" xfId="0" applyFont="1" applyAlignment="1">
      <alignment vertic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1">
    <dxf>
      <font>
        <b val="0"/>
        <i val="0"/>
        <strike val="0"/>
        <condense val="0"/>
        <extend val="0"/>
        <outline val="0"/>
        <shadow val="0"/>
        <u val="none"/>
        <vertAlign val="baseline"/>
        <sz val="11"/>
        <color theme="1"/>
        <name val="Aptos Narrow"/>
        <family val="2"/>
        <scheme val="minor"/>
      </font>
      <numFmt numFmtId="164" formatCode="0.0%"/>
    </dxf>
    <dxf>
      <font>
        <b val="0"/>
        <i val="0"/>
        <strike val="0"/>
        <condense val="0"/>
        <extend val="0"/>
        <outline val="0"/>
        <shadow val="0"/>
        <u val="none"/>
        <vertAlign val="baseline"/>
        <sz val="11"/>
        <color theme="1"/>
        <name val="Aptos Narrow"/>
        <family val="2"/>
        <scheme val="minor"/>
      </font>
      <numFmt numFmtId="164" formatCode="0.0%"/>
    </dxf>
    <dxf>
      <numFmt numFmtId="0" formatCode="General"/>
    </dxf>
    <dxf>
      <numFmt numFmtId="19" formatCode="m/d/yyyy"/>
    </dxf>
    <dxf>
      <numFmt numFmtId="165" formatCode="&quot;$&quot;#,##0.0"/>
    </dxf>
    <dxf>
      <numFmt numFmtId="165" formatCode="&quot;$&quot;#,##0.0"/>
    </dxf>
    <dxf>
      <numFmt numFmtId="165" formatCode="&quot;$&quot;#,##0.0"/>
    </dxf>
    <dxf>
      <numFmt numFmtId="165" formatCode="&quot;$&quot;#,##0.0"/>
    </dxf>
    <dxf>
      <numFmt numFmtId="165" formatCode="&quot;$&quot;#,##0.0"/>
    </dxf>
    <dxf>
      <numFmt numFmtId="165" formatCode="&quot;$&quot;#,##0.0"/>
    </dxf>
    <dxf>
      <numFmt numFmtId="165" formatCode="&quot;$&quot;#,##0.0"/>
    </dxf>
  </dxfs>
  <tableStyles count="1" defaultTableStyle="TableStyleMedium2" defaultPivotStyle="PivotStyleLight16">
    <tableStyle name="Invisible" pivot="0" table="0" count="0" xr9:uid="{DF74E516-85F1-4DEF-9784-B393CAA763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"$"#,##0.0</c:formatCode>
                <c:ptCount val="4"/>
                <c:pt idx="0">
                  <c:v>10700</c:v>
                </c:pt>
                <c:pt idx="1">
                  <c:v>3940</c:v>
                </c:pt>
                <c:pt idx="2">
                  <c:v>16500</c:v>
                </c:pt>
                <c:pt idx="3">
                  <c:v>5440</c:v>
                </c:pt>
              </c:numCache>
            </c:numRef>
          </c:val>
          <c:extLst>
            <c:ext xmlns:c16="http://schemas.microsoft.com/office/drawing/2014/chart" uri="{C3380CC4-5D6E-409C-BE32-E72D297353CC}">
              <c16:uniqueId val="{00000000-285F-4F82-8719-BE7FC20FECF7}"/>
            </c:ext>
          </c:extLst>
        </c:ser>
        <c:dLbls>
          <c:showLegendKey val="0"/>
          <c:showVal val="0"/>
          <c:showCatName val="0"/>
          <c:showSerName val="0"/>
          <c:showPercent val="0"/>
          <c:showBubbleSize val="0"/>
        </c:dLbls>
        <c:gapWidth val="219"/>
        <c:overlap val="-27"/>
        <c:axId val="1028284944"/>
        <c:axId val="1028286024"/>
      </c:barChart>
      <c:catAx>
        <c:axId val="102828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86024"/>
        <c:crosses val="autoZero"/>
        <c:auto val="1"/>
        <c:lblAlgn val="ctr"/>
        <c:lblOffset val="100"/>
        <c:noMultiLvlLbl val="0"/>
      </c:catAx>
      <c:valAx>
        <c:axId val="1028286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8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"$"#,##0.0</c:formatCode>
                <c:ptCount val="4"/>
                <c:pt idx="0">
                  <c:v>10700</c:v>
                </c:pt>
                <c:pt idx="1">
                  <c:v>3940</c:v>
                </c:pt>
                <c:pt idx="2">
                  <c:v>16500</c:v>
                </c:pt>
                <c:pt idx="3">
                  <c:v>5440</c:v>
                </c:pt>
              </c:numCache>
            </c:numRef>
          </c:val>
          <c:extLst>
            <c:ext xmlns:c16="http://schemas.microsoft.com/office/drawing/2014/chart" uri="{C3380CC4-5D6E-409C-BE32-E72D297353CC}">
              <c16:uniqueId val="{00000000-62C1-47CB-91DC-8E1B5D81C8E7}"/>
            </c:ext>
          </c:extLst>
        </c:ser>
        <c:dLbls>
          <c:showLegendKey val="0"/>
          <c:showVal val="0"/>
          <c:showCatName val="0"/>
          <c:showSerName val="0"/>
          <c:showPercent val="0"/>
          <c:showBubbleSize val="0"/>
        </c:dLbls>
        <c:gapWidth val="219"/>
        <c:overlap val="-27"/>
        <c:axId val="1028284944"/>
        <c:axId val="1028286024"/>
      </c:barChart>
      <c:catAx>
        <c:axId val="102828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86024"/>
        <c:crosses val="autoZero"/>
        <c:auto val="1"/>
        <c:lblAlgn val="ctr"/>
        <c:lblOffset val="100"/>
        <c:noMultiLvlLbl val="0"/>
      </c:catAx>
      <c:valAx>
        <c:axId val="1028286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8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[DataforDashboard_v2.xlsx]Sales by Salesperson!PivotTable3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Sales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cat>
            <c:strRef>
              <c:f>'Sales by Salesperson'!$A$4:$A$8</c:f>
              <c:strCache>
                <c:ptCount val="4"/>
                <c:pt idx="0">
                  <c:v>David</c:v>
                </c:pt>
                <c:pt idx="1">
                  <c:v>Alice</c:v>
                </c:pt>
                <c:pt idx="2">
                  <c:v>Carol</c:v>
                </c:pt>
                <c:pt idx="3">
                  <c:v>Bob</c:v>
                </c:pt>
              </c:strCache>
            </c:strRef>
          </c:cat>
          <c:val>
            <c:numRef>
              <c:f>'Sales by Salesperson'!$B$4:$B$8</c:f>
              <c:numCache>
                <c:formatCode>"$"#,##0.0</c:formatCode>
                <c:ptCount val="4"/>
                <c:pt idx="0">
                  <c:v>16500</c:v>
                </c:pt>
                <c:pt idx="1">
                  <c:v>8240</c:v>
                </c:pt>
                <c:pt idx="2">
                  <c:v>7200</c:v>
                </c:pt>
                <c:pt idx="3">
                  <c:v>4640</c:v>
                </c:pt>
              </c:numCache>
            </c:numRef>
          </c:val>
          <c:extLst>
            <c:ext xmlns:c16="http://schemas.microsoft.com/office/drawing/2014/chart" uri="{C3380CC4-5D6E-409C-BE32-E72D297353CC}">
              <c16:uniqueId val="{00000000-42A8-4F18-819A-A94DA7AB2C9C}"/>
            </c:ext>
          </c:extLst>
        </c:ser>
        <c:dLbls>
          <c:showLegendKey val="0"/>
          <c:showVal val="0"/>
          <c:showCatName val="0"/>
          <c:showSerName val="0"/>
          <c:showPercent val="0"/>
          <c:showBubbleSize val="0"/>
        </c:dLbls>
        <c:gapWidth val="182"/>
        <c:axId val="1167831248"/>
        <c:axId val="1167829808"/>
      </c:barChart>
      <c:catAx>
        <c:axId val="116783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29808"/>
        <c:crosses val="autoZero"/>
        <c:auto val="1"/>
        <c:lblAlgn val="ctr"/>
        <c:lblOffset val="100"/>
        <c:noMultiLvlLbl val="0"/>
      </c:catAx>
      <c:valAx>
        <c:axId val="11678298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3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[DataforDashboard_v2.xlsx]Profit by Product 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Profit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Product Category'!$B$3</c:f>
              <c:strCache>
                <c:ptCount val="1"/>
                <c:pt idx="0">
                  <c:v>Total</c:v>
                </c:pt>
              </c:strCache>
            </c:strRef>
          </c:tx>
          <c:spPr>
            <a:solidFill>
              <a:schemeClr val="accent1"/>
            </a:solidFill>
            <a:ln>
              <a:noFill/>
            </a:ln>
            <a:effectLst/>
          </c:spPr>
          <c:invertIfNegative val="0"/>
          <c:cat>
            <c:strRef>
              <c:f>'Profit by Product Category'!$A$4:$A$7</c:f>
              <c:strCache>
                <c:ptCount val="3"/>
                <c:pt idx="0">
                  <c:v>Electronics</c:v>
                </c:pt>
                <c:pt idx="1">
                  <c:v>Furniture</c:v>
                </c:pt>
                <c:pt idx="2">
                  <c:v>Stationery</c:v>
                </c:pt>
              </c:strCache>
            </c:strRef>
          </c:cat>
          <c:val>
            <c:numRef>
              <c:f>'Profit by Product Category'!$B$4:$B$7</c:f>
              <c:numCache>
                <c:formatCode>"$"#,##0.0</c:formatCode>
                <c:ptCount val="3"/>
                <c:pt idx="0">
                  <c:v>3003</c:v>
                </c:pt>
                <c:pt idx="1">
                  <c:v>1530</c:v>
                </c:pt>
                <c:pt idx="2">
                  <c:v>526</c:v>
                </c:pt>
              </c:numCache>
            </c:numRef>
          </c:val>
          <c:extLst>
            <c:ext xmlns:c16="http://schemas.microsoft.com/office/drawing/2014/chart" uri="{C3380CC4-5D6E-409C-BE32-E72D297353CC}">
              <c16:uniqueId val="{00000000-59DE-4D16-B308-B0779E1FA5B9}"/>
            </c:ext>
          </c:extLst>
        </c:ser>
        <c:dLbls>
          <c:showLegendKey val="0"/>
          <c:showVal val="0"/>
          <c:showCatName val="0"/>
          <c:showSerName val="0"/>
          <c:showPercent val="0"/>
          <c:showBubbleSize val="0"/>
        </c:dLbls>
        <c:gapWidth val="182"/>
        <c:axId val="1139267176"/>
        <c:axId val="1139265376"/>
      </c:barChart>
      <c:catAx>
        <c:axId val="1139267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65376"/>
        <c:crosses val="autoZero"/>
        <c:auto val="1"/>
        <c:lblAlgn val="ctr"/>
        <c:lblOffset val="100"/>
        <c:noMultiLvlLbl val="0"/>
      </c:catAx>
      <c:valAx>
        <c:axId val="1139265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67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[DataforDashboard_v2.xlsx]Monthly Sales Trend!PivotTable5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Monthly Sales Trend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Trend'!$A$4:$A$9</c:f>
              <c:multiLvlStrCache>
                <c:ptCount val="4"/>
                <c:lvl>
                  <c:pt idx="0">
                    <c:v>Jan</c:v>
                  </c:pt>
                  <c:pt idx="1">
                    <c:v>Feb</c:v>
                  </c:pt>
                  <c:pt idx="2">
                    <c:v>Mar</c:v>
                  </c:pt>
                  <c:pt idx="3">
                    <c:v>Jul</c:v>
                  </c:pt>
                </c:lvl>
                <c:lvl>
                  <c:pt idx="0">
                    <c:v>2024</c:v>
                  </c:pt>
                </c:lvl>
              </c:multiLvlStrCache>
            </c:multiLvlStrRef>
          </c:cat>
          <c:val>
            <c:numRef>
              <c:f>'Monthly Sales Trend'!$B$4:$B$9</c:f>
              <c:numCache>
                <c:formatCode>General</c:formatCode>
                <c:ptCount val="4"/>
                <c:pt idx="0">
                  <c:v>7200</c:v>
                </c:pt>
                <c:pt idx="1">
                  <c:v>15730</c:v>
                </c:pt>
                <c:pt idx="2">
                  <c:v>12450</c:v>
                </c:pt>
                <c:pt idx="3">
                  <c:v>1200</c:v>
                </c:pt>
              </c:numCache>
            </c:numRef>
          </c:val>
          <c:smooth val="0"/>
          <c:extLst>
            <c:ext xmlns:c16="http://schemas.microsoft.com/office/drawing/2014/chart" uri="{C3380CC4-5D6E-409C-BE32-E72D297353CC}">
              <c16:uniqueId val="{00000000-8443-4F2E-8696-E9AAF3EFD255}"/>
            </c:ext>
          </c:extLst>
        </c:ser>
        <c:dLbls>
          <c:showLegendKey val="0"/>
          <c:showVal val="0"/>
          <c:showCatName val="0"/>
          <c:showSerName val="0"/>
          <c:showPercent val="0"/>
          <c:showBubbleSize val="0"/>
        </c:dLbls>
        <c:smooth val="0"/>
        <c:axId val="1084587672"/>
        <c:axId val="1084585512"/>
      </c:lineChart>
      <c:catAx>
        <c:axId val="108458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85512"/>
        <c:crosses val="autoZero"/>
        <c:auto val="1"/>
        <c:lblAlgn val="ctr"/>
        <c:lblOffset val="100"/>
        <c:noMultiLvlLbl val="0"/>
      </c:catAx>
      <c:valAx>
        <c:axId val="1084585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87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[DataforDashboard_v2.xlsx]Payment Mode Breakdown!PivotTable6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Payment Mode Distribution</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
        <c:idx val="14"/>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s>
    <c:plotArea>
      <c:layout/>
      <c:pieChart>
        <c:varyColors val="1"/>
        <c:ser>
          <c:idx val="0"/>
          <c:order val="0"/>
          <c:tx>
            <c:strRef>
              <c:f>'Payment Mode Breakdown'!$B$3</c:f>
              <c:strCache>
                <c:ptCount val="1"/>
                <c:pt idx="0">
                  <c:v>Sum of Order_Value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60-4DF5-AF0F-629DD7C7E1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60-4DF5-AF0F-629DD7C7E1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60-4DF5-AF0F-629DD7C7E1E5}"/>
              </c:ext>
            </c:extLst>
          </c:dPt>
          <c:dLbls>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'Payment Mode Breakdown'!$A$4:$A$7</c:f>
              <c:strCache>
                <c:ptCount val="3"/>
                <c:pt idx="0">
                  <c:v>Cash</c:v>
                </c:pt>
                <c:pt idx="1">
                  <c:v>Credit Card</c:v>
                </c:pt>
                <c:pt idx="2">
                  <c:v>Debit Card</c:v>
                </c:pt>
              </c:strCache>
            </c:strRef>
          </c:cat>
          <c:val>
            <c:numRef>
              <c:f>'Payment Mode Breakdown'!$B$4:$B$7</c:f>
              <c:numCache>
                <c:formatCode>General</c:formatCode>
                <c:ptCount val="3"/>
                <c:pt idx="0">
                  <c:v>10310</c:v>
                </c:pt>
                <c:pt idx="1">
                  <c:v>20800</c:v>
                </c:pt>
                <c:pt idx="2">
                  <c:v>5470</c:v>
                </c:pt>
              </c:numCache>
            </c:numRef>
          </c:val>
          <c:extLst>
            <c:ext xmlns:c16="http://schemas.microsoft.com/office/drawing/2014/chart" uri="{C3380CC4-5D6E-409C-BE32-E72D297353CC}">
              <c16:uniqueId val="{00000006-BF60-4DF5-AF0F-629DD7C7E1E5}"/>
            </c:ext>
          </c:extLst>
        </c:ser>
        <c:ser>
          <c:idx val="1"/>
          <c:order val="1"/>
          <c:tx>
            <c:strRef>
              <c:f>'Payment Mode Breakdown'!$C$3</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F60-4DF5-AF0F-629DD7C7E1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F60-4DF5-AF0F-629DD7C7E1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F60-4DF5-AF0F-629DD7C7E1E5}"/>
              </c:ext>
            </c:extLst>
          </c:dPt>
          <c:cat>
            <c:strRef>
              <c:f>'Payment Mode Breakdown'!$A$4:$A$7</c:f>
              <c:strCache>
                <c:ptCount val="3"/>
                <c:pt idx="0">
                  <c:v>Cash</c:v>
                </c:pt>
                <c:pt idx="1">
                  <c:v>Credit Card</c:v>
                </c:pt>
                <c:pt idx="2">
                  <c:v>Debit Card</c:v>
                </c:pt>
              </c:strCache>
            </c:strRef>
          </c:cat>
          <c:val>
            <c:numRef>
              <c:f>'Payment Mode Breakdown'!$C$4:$C$7</c:f>
              <c:numCache>
                <c:formatCode>General</c:formatCode>
                <c:ptCount val="3"/>
                <c:pt idx="0">
                  <c:v>11</c:v>
                </c:pt>
                <c:pt idx="1">
                  <c:v>10</c:v>
                </c:pt>
                <c:pt idx="2">
                  <c:v>8</c:v>
                </c:pt>
              </c:numCache>
            </c:numRef>
          </c:val>
          <c:extLst>
            <c:ext xmlns:c16="http://schemas.microsoft.com/office/drawing/2014/chart" uri="{C3380CC4-5D6E-409C-BE32-E72D297353CC}">
              <c16:uniqueId val="{0000000D-BF60-4DF5-AF0F-629DD7C7E1E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[DataforDashboard_v2.xlsx]Sales by Salesperson!PivotTable3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cat>
            <c:strRef>
              <c:f>'Sales by Salesperson'!$A$4:$A$8</c:f>
              <c:strCache>
                <c:ptCount val="4"/>
                <c:pt idx="0">
                  <c:v>David</c:v>
                </c:pt>
                <c:pt idx="1">
                  <c:v>Alice</c:v>
                </c:pt>
                <c:pt idx="2">
                  <c:v>Carol</c:v>
                </c:pt>
                <c:pt idx="3">
                  <c:v>Bob</c:v>
                </c:pt>
              </c:strCache>
            </c:strRef>
          </c:cat>
          <c:val>
            <c:numRef>
              <c:f>'Sales by Salesperson'!$B$4:$B$8</c:f>
              <c:numCache>
                <c:formatCode>"$"#,##0.0</c:formatCode>
                <c:ptCount val="4"/>
                <c:pt idx="0">
                  <c:v>16500</c:v>
                </c:pt>
                <c:pt idx="1">
                  <c:v>8240</c:v>
                </c:pt>
                <c:pt idx="2">
                  <c:v>7200</c:v>
                </c:pt>
                <c:pt idx="3">
                  <c:v>4640</c:v>
                </c:pt>
              </c:numCache>
            </c:numRef>
          </c:val>
          <c:extLst>
            <c:ext xmlns:c16="http://schemas.microsoft.com/office/drawing/2014/chart" uri="{C3380CC4-5D6E-409C-BE32-E72D297353CC}">
              <c16:uniqueId val="{00000000-D5B5-4B08-A4A8-6475DD272EEE}"/>
            </c:ext>
          </c:extLst>
        </c:ser>
        <c:dLbls>
          <c:showLegendKey val="0"/>
          <c:showVal val="0"/>
          <c:showCatName val="0"/>
          <c:showSerName val="0"/>
          <c:showPercent val="0"/>
          <c:showBubbleSize val="0"/>
        </c:dLbls>
        <c:gapWidth val="182"/>
        <c:axId val="1167831248"/>
        <c:axId val="1167829808"/>
      </c:barChart>
      <c:catAx>
        <c:axId val="116783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29808"/>
        <c:crosses val="autoZero"/>
        <c:auto val="1"/>
        <c:lblAlgn val="ctr"/>
        <c:lblOffset val="100"/>
        <c:noMultiLvlLbl val="0"/>
      </c:catAx>
      <c:valAx>
        <c:axId val="11678298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3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[DataforDashboard_v2.xlsx]Profit by Product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Profit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Product Category'!$B$3</c:f>
              <c:strCache>
                <c:ptCount val="1"/>
                <c:pt idx="0">
                  <c:v>Total</c:v>
                </c:pt>
              </c:strCache>
            </c:strRef>
          </c:tx>
          <c:spPr>
            <a:solidFill>
              <a:schemeClr val="accent1"/>
            </a:solidFill>
            <a:ln>
              <a:noFill/>
            </a:ln>
            <a:effectLst/>
          </c:spPr>
          <c:invertIfNegative val="0"/>
          <c:cat>
            <c:strRef>
              <c:f>'Profit by Product Category'!$A$4:$A$7</c:f>
              <c:strCache>
                <c:ptCount val="3"/>
                <c:pt idx="0">
                  <c:v>Electronics</c:v>
                </c:pt>
                <c:pt idx="1">
                  <c:v>Furniture</c:v>
                </c:pt>
                <c:pt idx="2">
                  <c:v>Stationery</c:v>
                </c:pt>
              </c:strCache>
            </c:strRef>
          </c:cat>
          <c:val>
            <c:numRef>
              <c:f>'Profit by Product Category'!$B$4:$B$7</c:f>
              <c:numCache>
                <c:formatCode>"$"#,##0.0</c:formatCode>
                <c:ptCount val="3"/>
                <c:pt idx="0">
                  <c:v>3003</c:v>
                </c:pt>
                <c:pt idx="1">
                  <c:v>1530</c:v>
                </c:pt>
                <c:pt idx="2">
                  <c:v>526</c:v>
                </c:pt>
              </c:numCache>
            </c:numRef>
          </c:val>
          <c:extLst>
            <c:ext xmlns:c16="http://schemas.microsoft.com/office/drawing/2014/chart" uri="{C3380CC4-5D6E-409C-BE32-E72D297353CC}">
              <c16:uniqueId val="{00000000-45C6-4DF5-8A40-75ADEA2DBAEF}"/>
            </c:ext>
          </c:extLst>
        </c:ser>
        <c:dLbls>
          <c:showLegendKey val="0"/>
          <c:showVal val="0"/>
          <c:showCatName val="0"/>
          <c:showSerName val="0"/>
          <c:showPercent val="0"/>
          <c:showBubbleSize val="0"/>
        </c:dLbls>
        <c:gapWidth val="182"/>
        <c:axId val="1139267176"/>
        <c:axId val="1139265376"/>
      </c:barChart>
      <c:catAx>
        <c:axId val="1139267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65376"/>
        <c:crosses val="autoZero"/>
        <c:auto val="1"/>
        <c:lblAlgn val="ctr"/>
        <c:lblOffset val="100"/>
        <c:noMultiLvlLbl val="0"/>
      </c:catAx>
      <c:valAx>
        <c:axId val="1139265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67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[DataforDashboard_v2.xlsx]Monthly Sales 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Monthly Sales Trend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Trend'!$A$4:$A$9</c:f>
              <c:multiLvlStrCache>
                <c:ptCount val="4"/>
                <c:lvl>
                  <c:pt idx="0">
                    <c:v>Jan</c:v>
                  </c:pt>
                  <c:pt idx="1">
                    <c:v>Feb</c:v>
                  </c:pt>
                  <c:pt idx="2">
                    <c:v>Mar</c:v>
                  </c:pt>
                  <c:pt idx="3">
                    <c:v>Jul</c:v>
                  </c:pt>
                </c:lvl>
                <c:lvl>
                  <c:pt idx="0">
                    <c:v>2024</c:v>
                  </c:pt>
                </c:lvl>
              </c:multiLvlStrCache>
            </c:multiLvlStrRef>
          </c:cat>
          <c:val>
            <c:numRef>
              <c:f>'Monthly Sales Trend'!$B$4:$B$9</c:f>
              <c:numCache>
                <c:formatCode>General</c:formatCode>
                <c:ptCount val="4"/>
                <c:pt idx="0">
                  <c:v>7200</c:v>
                </c:pt>
                <c:pt idx="1">
                  <c:v>15730</c:v>
                </c:pt>
                <c:pt idx="2">
                  <c:v>12450</c:v>
                </c:pt>
                <c:pt idx="3">
                  <c:v>1200</c:v>
                </c:pt>
              </c:numCache>
            </c:numRef>
          </c:val>
          <c:smooth val="0"/>
          <c:extLst>
            <c:ext xmlns:c16="http://schemas.microsoft.com/office/drawing/2014/chart" uri="{C3380CC4-5D6E-409C-BE32-E72D297353CC}">
              <c16:uniqueId val="{00000000-F1A0-4908-8315-271452F2205E}"/>
            </c:ext>
          </c:extLst>
        </c:ser>
        <c:dLbls>
          <c:showLegendKey val="0"/>
          <c:showVal val="0"/>
          <c:showCatName val="0"/>
          <c:showSerName val="0"/>
          <c:showPercent val="0"/>
          <c:showBubbleSize val="0"/>
        </c:dLbls>
        <c:smooth val="0"/>
        <c:axId val="1084587672"/>
        <c:axId val="1084585512"/>
      </c:lineChart>
      <c:catAx>
        <c:axId val="108458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85512"/>
        <c:crosses val="autoZero"/>
        <c:auto val="1"/>
        <c:lblAlgn val="ctr"/>
        <c:lblOffset val="100"/>
        <c:noMultiLvlLbl val="0"/>
      </c:catAx>
      <c:valAx>
        <c:axId val="1084585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87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[DataforDashboard_v2.xlsx]Payment Mode Breakdown!PivotTable6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s>
    <c:plotArea>
      <c:layout/>
      <c:pieChart>
        <c:varyColors val="1"/>
        <c:ser>
          <c:idx val="0"/>
          <c:order val="0"/>
          <c:tx>
            <c:strRef>
              <c:f>'Payment Mode Breakdown'!$B$3</c:f>
              <c:strCache>
                <c:ptCount val="1"/>
                <c:pt idx="0">
                  <c:v>Sum of Order_Value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79-4495-A533-38E6C13D1C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79-4495-A533-38E6C13D1C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79-4495-A533-38E6C13D1C23}"/>
              </c:ext>
            </c:extLst>
          </c:dPt>
          <c:dLbls>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'Payment Mode Breakdown'!$A$4:$A$7</c:f>
              <c:strCache>
                <c:ptCount val="3"/>
                <c:pt idx="0">
                  <c:v>Cash</c:v>
                </c:pt>
                <c:pt idx="1">
                  <c:v>Credit Card</c:v>
                </c:pt>
                <c:pt idx="2">
                  <c:v>Debit Card</c:v>
                </c:pt>
              </c:strCache>
            </c:strRef>
          </c:cat>
          <c:val>
            <c:numRef>
              <c:f>'Payment Mode Breakdown'!$B$4:$B$7</c:f>
              <c:numCache>
                <c:formatCode>General</c:formatCode>
                <c:ptCount val="3"/>
                <c:pt idx="0">
                  <c:v>10310</c:v>
                </c:pt>
                <c:pt idx="1">
                  <c:v>20800</c:v>
                </c:pt>
                <c:pt idx="2">
                  <c:v>5470</c:v>
                </c:pt>
              </c:numCache>
            </c:numRef>
          </c:val>
          <c:extLst>
            <c:ext xmlns:c16="http://schemas.microsoft.com/office/drawing/2014/chart" uri="{C3380CC4-5D6E-409C-BE32-E72D297353CC}">
              <c16:uniqueId val="{00000000-A79E-41B7-B8A5-D8A14391986F}"/>
            </c:ext>
          </c:extLst>
        </c:ser>
        <c:ser>
          <c:idx val="1"/>
          <c:order val="1"/>
          <c:tx>
            <c:strRef>
              <c:f>'Payment Mode Breakdown'!$C$3</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2879-4495-A533-38E6C13D1C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2879-4495-A533-38E6C13D1C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2879-4495-A533-38E6C13D1C23}"/>
              </c:ext>
            </c:extLst>
          </c:dPt>
          <c:cat>
            <c:strRef>
              <c:f>'Payment Mode Breakdown'!$A$4:$A$7</c:f>
              <c:strCache>
                <c:ptCount val="3"/>
                <c:pt idx="0">
                  <c:v>Cash</c:v>
                </c:pt>
                <c:pt idx="1">
                  <c:v>Credit Card</c:v>
                </c:pt>
                <c:pt idx="2">
                  <c:v>Debit Card</c:v>
                </c:pt>
              </c:strCache>
            </c:strRef>
          </c:cat>
          <c:val>
            <c:numRef>
              <c:f>'Payment Mode Breakdown'!$C$4:$C$7</c:f>
              <c:numCache>
                <c:formatCode>General</c:formatCode>
                <c:ptCount val="3"/>
                <c:pt idx="0">
                  <c:v>11</c:v>
                </c:pt>
                <c:pt idx="1">
                  <c:v>10</c:v>
                </c:pt>
                <c:pt idx="2">
                  <c:v>8</c:v>
                </c:pt>
              </c:numCache>
            </c:numRef>
          </c:val>
          <c:extLst>
            <c:ext xmlns:c16="http://schemas.microsoft.com/office/drawing/2014/chart" uri="{C3380CC4-5D6E-409C-BE32-E72D297353CC}">
              <c16:uniqueId val="{00000001-A79E-41B7-B8A5-D8A14391986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regionMap" uniqueId="{B0336B34-E6B1-4F7F-8104-6DA32CB603BD}">
          <cx:tx>
            <cx:txData>
              <cx:f>_xlchart.v5.2</cx:f>
              <cx:v>States</cx:v>
            </cx:txData>
          </cx:tx>
          <cx:dataId val="0"/>
          <cx:layoutPr>
            <cx:geography cultureLanguage="en-US" cultureRegion="CA" attribution="Powered by Bing">
              <cx:geoCache provider="{E9337A44-BEBE-4D9F-B70C-5C5E7DAFC167}">
                <cx:binary>7HrZct04su2vOPx8WYUZREfXiTjk3luj5UGWT9kvDNlWESQxECA4fv1NWq6+ZVWHfPr9+sE7xAlA
InPlypX455flH1/Mw318sVjjhn98WX57qVPq//Hrr8MX/WDvh19s8yX6wf+Rfvni7a/+jz+aLw+/
fo33c+PqXwnC7Ncv+j6mh+Xlf/0TvlY/+Gv/5T413r0dH+L67mEYTRqeufdvb7344keX9tdr+NJv
L+9u//vliweXmrS+X/uH317+cP/li1+ffuVvI74wMKk0foV3qfqFI8oloxJ9+0dfvjDe1d9vZ0r9
gnBOBVVMffvH/hz75t7C+3euSQ9fX9ym+/Qw/Hnr303r26Tuv36ND8Pw4vvv317/YSV/u9sMvnw0
Ren3ud/dflvsrz+a+r/++eQCLP/Jlb/sxlNb/ezW3zbjf7v+/78tTzbhJ9vy5Om/7Mu/3Plwn+6P
3+Lgf333z+1+8upz4fQYaRdff3tJGDj/v6Jr/8T3954JhX+993A/pN9eZkL8oiSlgksIKoUZEi9f
zA/7LSzJLxwThXJFOWciz1++cD4m/dtLiX+hnEmIQpJjwl++GPy4X8f5L4oSjpXCRGIlifwX8Lzx
Zq29+5etvv/9wo32jW9cGiD0IdT7x8f2We4jYoKUwJRIoWhOYAL9l/t3AG7wNP4/BrfR4bnjDzmu
0qiOpGd9ZkrUT832gfOx7+5ZFvlwcmEdVnZIZOF6KTNfoc+1i8xlpSdLJy+V5ut46FTmwvmsrBle
GW77bC18t/D+M+9Su/gD2Mq0tKylZPhBLn4d3xm9SHOf57yvvlBLg7ipRRN6WljcDDAV1vNoX2uM
0uwOteGx6ws/c2uvsVwDTLm2Fq9XxFLX/pENk4d3/rKl/8ZI8omNFFKEKS6YErB9BIFH/NVGEttm
1ELnD9XsXRvOk2WGnRs2DVGeb0Odmrncmt40fxhUNaQ6PT88Jk/Hl5JKShjNKewUTObH8beW5oNA
ovna4o52TZk85VQXSpEstKe4zHVMh6hTzXSRsWzr3ZuZ0XUgJWabmOllEtoNXeF9oBHfKJ4HuPf8
JMGF/+pHElFKWQ4uJDBTu1v+OMdFNxnRkWZfRRYnRA71JmsZTiZniaLCxSTEp46jKl08P+6TvdnH
ZYpJQjgiKqdPx+3H1Uuf0fxrvYLPiWJCvRl+16wiri7mthmb166ClJ8KrT0honh+ePW3ZUuWY5YT
xXhOIIZ+XHbNpyZDi6ZfM2lkoCWfkeD3EEhZuvBbI81Nk2GPX9EurONtNyC06WLQjQGjPD8TQIQf
N4ATwXLOc8EFWIM+2YAkGtSunau+VGpzPJ750NtqPWaVHdR6tuZxgV15fsi/Lz6XuWCC50ghIAvo
x8VrqSvTrih+ZWKGKD+tWGy4O/E4jwM7NnnFxKc4gtVDMQgpxSeP1imq49R41M8/cQT8BMkk4gox
iBIIVApwmj+ZTa22lqs+ZZ91E6XNzpek94Cwi9fAMca5ZRsrGzuspC8WRSjMijdIj7e2F+1augxH
d6usttEdAveRvLNT44bPz9tsx9O/4K3EmCLGEONYAoZT8QRLxrnKIwrb8nmJKYIToLFDYCy0zJRn
xRLplN32pAt70KTZ7z9NX4//qbEwFpIJioTKGWUAbT9uXR7IkNZB+M/O8AwwvAX02uZiWlFa+RWt
OOD+UI+xu7ctd4CosbcR8/M8a7OpK4IGtN2Rf9Xwlms2M12xpeu9/Qms4Kc+hncjSSJkTmCHhXiS
nxY6u165jX4eKiIye2zT0JvxTdhS07tyDmuAyWXSTnDPr8H69ZB325rdzn1fXQwqmrYu7bah9crq
4FJVOIVElcqRo8y8E1bVmy0JVQtAIsnaFbtLtCkDX+2aag7hJ2GK8RMHIALnSiiBMOWCg7P+aHnw
TBcmN/WfJPe85WWPcg6uWFWjUrHEm8wA2qv1ET3NyODe+A1OelzlcGuZExXhNM705wHNnqI4Abah
IJAwJnQHkidu0S3dYCvt+099hCgKRzp0OXtFsKbrFR3GFcyhqslsH6xe1lUWo45z0CUA/ize1WGr
svNoWbt9iNk4iJu8ETtBWNhkjTrrRr5vjx+oAhdaJ8mnd31su+3DZkQ3dwUyZk9aDVgfNsg7peEi
XSMwkdwuC+wd5e0KP8OG6pQfej7Q4STkuO9dt9QNEIzwbXiV19k6F7lfWviEB/IAM28yt3OD1HPb
3S+DcKE/qSni6ZZRv6XrGLsqFsbYSGyZ1ZVdzmsGyfWjy13FPkxowuBkMq+BZ0zBeaAoz2PDUwgH
60skJZReTApO8RPXoNXqaqx682nDdoh1sRAk+6GYfevNBR3DDEDx/IhP0YhIwCKCIW9jBrn76YhD
RIOeLZ0/0m3cnXEe2Q5/ZJAdJG8xBS4+VS3dwAlnMqahfiUBWMBPn5/GTmd/QEUqhSASEhcniDBg
yT8GxUanMWRK2A+WOZtokfzIswcfdAA00t3g8DFW0jdvpiGvAXF6zX19rPNEJl/kUs5mKhKpw5Wp
cnG70GjytRhmLKZ3Kc9QUwa+Lf4KnAjpokWsavqCVQLvwa4R+KGfNLCLi6rt0h75E+P0NYF8368F
7SJdprPnV/wU13IKCQroBqx6L7ShJvhxxZ2otJvDIO+m0SEgsTxGAiR22na/ZUCy2LnG8wJuu3SK
wk+dvjHbTPS7S9OxnUl1Wy1id2kSms3G86YndIfIsA0In4KZ+qE52/jaQdRVs905NV5zC9EpcYAw
en5J5Amy5cCAckibgGqwgxijJ1AdqLObbx25y5OmEFupr/cJpIyOe+h+i2OC0Apzq/Syhzhg5Q4p
sQ+QaDKNgcbjhe+XfOiG7t6oVrLzZja7HcI6e3FThQWeajTdl7jWVgynLpORnvo8TnQoV8gXsNyf
LO0Jy4SlKUwZwRAqiDPgez/uVlo6LM3o1ztaTztSpRjAtTazNf5LQnlHXLEmH7YPkrg9P9rMY9iQ
RVhTr8fNCpzqk6LZON8BS41gjlm2FLyPThugiWsyBS7GZtPv6DYCbJ43pJ8B1hIwEhiwSRWCv6DG
wmAKWzMwRUpSZ6nkZmwhJLQiLfz1aJ8dCrv7543wJEZzoAvAriThOZSd6G9UF88bE6sI2fvJSg/o
8Ehvic6XqSuhstS1+xksPElH+5CMArFHkJaQANb0o9lR64FC9ot8P4wYPCStKYFDQe4H+7C2Z54f
qznzy1AIQ1cwuJkqB5QFQA+sNMfFpDdSDHnVnqrEcgADCMjpXQQxDDKAzSDw0+IgUX3ftjrMDky5
mNxBrEAU7dtRd8u+EVnbYPhRa6umd8hbDzPhXQe5qRNpr1OftzZTFBb3F6YIi9+TAIAExgxY0NPK
BujgkNVoWd9rvQpTFWnsaF9WM6raG0E2Ftdj0FH0eaEIUa0uYgxNuERmpAsvemA72VWsbcZeVVZL
WobZL/UX1Bh0PlcjE4dOOm++stZs8Z31woLmuWEzv2YTRst2yFuneF8G4I/DeJpnnk83Mehq8YWw
yOJriiJWB+eiwmW7pDFWhV/ysLWFdlNkS1kv3QTBMG1xXk2xZLxl7UkRPLJbYdLK6hIteJzHs17N
GlfA36o6XSQtgZmVcjPztkFZC67YXyzdWo1FGPpWnCYla3rgNlu297PwpPkwMlNXB8oSweUK9alf
C1GnQR1UQ+aurLmpzyWh6RA8mrerSjmEzvCMNTnV2ZBrdOw7b9ndyqe6y+6UR8vyfkkLTa+yIbns
HWQMOX7lUYh4t8mpdr7ovcd6eKuWzXRnVQPqxmnzLLe+UJ2nRJcybkPIP2Pb5u6rJr2flgO4yhoe
1JjmGZWdmQfcnqfKBZ4foA7gRpxVNuvEjcIy67qzSfRkMPpB544msPKCaR7Zq436CVx6w3Ho9Vsq
UBLo6Bzre3kxqqrR5trxpQv1sZ3qNE/XM6/qpjlVzM4jf1c5QsOFaJmu8xP4iqBd0U8bgrRuhryZ
VVFnTIR00FXc2vVirodMN2dzYyHblJ2aGQDs1Dcj/91no+DDBTjHnFXlTIG24JuxB9alirTSfBGv
DZESftLjxaxpDNxDCqr6WG5+YOHzNgZFpstWxL4m53jJMinLteXdKM8W12JrCs6mPS8injWwnJpy
SCr3S7UKpMqWa8Xr1+vcz71801ZZO5uT7GhG+otuXFU+vRYt5Y0qglK7JiFj4rr7IOuqyrYrxswA
lsrWAJD9ClA7aH6V0SpKc42b0GDzpm3nNq+OcwtAUB99gynMHSBrn9I6ZQaRI6r12oQD6rs25geX
UMbd76QmDsazrVHqbqzzEMoIdTBYluRjAxmkxELvH4H5A2UpQlA7p2d6gNWXvcaOilOr591i1KQO
fvygU3brrNwhn02pzmWp5uTBATYHfOMsqWjhuf5xqTrxDcwXWgn/IJcMFYxmNIYi0+Fm3x7cM034
/2Cz7HZ2TLWgJWVjFmErMtflmj2EAAVNOMWmAaZVzjleZSibXPMxgx1kYxg/pNaNjQN7ZXrzZ3rc
GF5e5a3cp9zATvfbrQDPghEo3Aqfq2zZHUzEbN95vmZwzSi7m2aaMDwKKTYPM8xhcgMMW35fT4yU
hs8guGm4xpfei9uOs0rRks0KBKCilxqDLb57T7UNCj4p22xfXJXWb8YYwWti+Z3jKr7x/S868O4V
RU3Mbr+bOnt8/E8jPz4HSgHpXknSW5gAdpmePneN6Jt41ji6wqID2aDVVNSE1g26hQK89qrgjxvl
tymBq0HlPcb6wmG1VrzAnZ5W8VrZ0YOVJmINPEJ60NhiCTJHNamiQ+tOemvLCVw0skbhs3q0oO8h
ggDXHtekSQM1Wtl7J2Z8vo75Xp2jx619dA9RdQbsI1gDbxy5NPviF7Fq8NMax30YzbSAi6sPSOq7
LWvYmC5hpXQ376MjbeM6wixhkftXcBMHeA8aThS8a0h6n/qjQbNt3uAPb6hn8pgh7rr2YiNcLv1Z
jUDRQse5GT3EtGrrXfkYZtjfZpIkfMaiduA+AwfGCouPE5Dd1wNo2fsHybT/sKnO4cc4tIeD3fg+
fzeKWs93o6lN3ZxcncN3daC4pufdsEqcruijrzTtoJI8+25y1U4RprM0tIOPQAbwMHjbNx3k+QmH
TaA7YG5tPh36kCXXlGioKxict9pDyZRMD9qmAcEAJBvYJj1eSF/v4TxCfoVr3TqKNj91QBaX9ZKq
wSz+PDGPrC2NYsZORTXUIBtihUd4XqcwwA+QRm5ubBjh/9XOIKJxNGOQigJo+eZm6lIFosAcWxgd
69pPH4SrFqgCqnXbfX9WAOXtaaGBAMLkUZsxPxoLKdYel8xVarjgClLV8hGJpQW8qY33XXf+XU5u
k9GxPY3aQL37ZWUDo/S8bzWY44x+i5ngcwMGG6q5q7YPVOd+TneBznoW5+lx6YuqBzAR7ZetgxV1
9Tzwo9gQBpRLke3mw0u/ew3oVbuLP+qn+dDNYAE8kn29qWkI/ERwcHg+NCCFZkVjNtCVFSOdUwVI
Fquwr2iPIzwhVrzXsBMfB/CrR5Flw9zE6jS6ECtyUVdhg29sj9JbBWU5qIaBsw700gp3UPpaC7WT
K5MBYYJf2U7s8ZTY3IAIX3d5Aqikoloh5w0rIE17glpvN97Y0F0qIGPegRbfGlfD63E1sMqPM9Cz
KrucqyHG5kbRdhcp/Qjp7pXsKirSWwYy1lodl6rNVn0Sc8/NcADpAgtWSBCBxCdWUwwlOSRDBZu/
ZWyDVQln97RhebW7WyQRg/M9WrJNHpRo2qCGTpfzxm0l33bbOGe3Ecg0qApbH5T4BHgL/pXN/QYW
aBna11D1LgPwh/JyV6lMA3wVmLWyfu4/CbXqgD+zxQhzI0To1+rEiB9S9sfc4HapjpDRqOHFYED/
zsrcYBk/gCI5d+k9qkNb12XFV6qXd7MEbhO+qqmZAvk4VDlIE2exGyeryoxsQ/dhYyNhvhghOyxQ
7GPsgVNKydWIR/By2ypSTnAxk1MhZ+hMLYfvK3ncy9C3IBCXnNN1X9Y3uDFm2vFPrfWOJsD+9+Bt
Brs/4b6p91VL9mscowyeWOt1f7CioE7YI1Tue2+jMVUPoVwDW6xutrTi/thCoO5Rqex+57vLAqcE
JFIcmj3QAvimh+9wmtVlXNZIZYFJRPmbUct69sWMHKjnbN0qRS7m4PYor7NtlwMH6BPBDwNali7C
hsC/GYL+ww3olvvMuwY6jZ++D8SjgpQWwFWy28eKzTXtJruidf3I3naPgNU9Co0hx7sYnZmwi5BD
FJGxg61t8FWhgxiz27HhPaw5zdDFmy4bUu80TrMFxpCT2ac1fgu4zHeQR4qKj3uQ92RvMx7cvOw+
KauNdE3B9eCsPerWQDSeHg0COvAOel0OZxMA3gectVeaUCPznwhfTwp60HIAH8CDCYCbwH+TlXWC
HgLo1eRWey9g1rKuF4iG2QPMhoztEWQmEF50MTVhn/tPqrsfa7t9eLE3TpDiHMP4TwrbOC4+mwcJ
UtUjNLagAcMsoA6ASHp+qCcCOkQTglMeMBZIVvC/2Mv6vzR457wLeQVU8k8fQd3ifRn6irHXUkHP
ChBZ6H1Tx6aFHfYsMtiy7+D4/Fx+lBA4QuA/OeaweGiHg5+TH+dSTZSAfNvWtwq6auJTw/HOx4ch
l/S4eaDOP7Pz3wckSoFwIHJFQFxUT3TFTkeEjUXVu7A4SBR1Bxn/Qq4dwNz3yH5+gXiX7f5f0b6v
ELRbxCUmOcHQjnoy4GJaVrtkxLvviDHrbRftV0FXzk8LG/Lp1PbVFt+OM13bgx3djuc0AjRkw8Yg
H/1kRj96OswISqlcQfKSijOQ6J4IjatC2SxXGt6Zx6CagddBjC9jVwGuN/nUwBZoNq4QmYpCcgBq
kel9Im1Pw7iVU4DK/sQt9RwVC0DLWgLUB3gc4qPCN81KoZ4s58d+Vv8Is88v4uk2wsYxRBGHjgnG
OH/aZYW8GxJZsulGD92OTNs3ItQP3I1v1ywf2fV/Ph5HsJH7PyHEE5vJBdgIydF48z3tLbUObYE8
IKsv4tDU/5G0xhFI/jgHZRGAG0L1b3BA5wqU6Klpbx7TEpDkfTdkZyAu3BD2hPH8And8+YubgkNA
+4lBBMJ5FAaK5hM9c163pYkb786ly2LHS2mtpJ9EhID5WQj+fSjYuhw6eDmDSl8+hTpbEbuOtajP
H6nIxEEdAT8iwcLP86t60luDr8MJDQXNeLAi1AGArD/ii0NJV+3Sqy+oBZn6e1gR0e1UMVK7l5Nz
PjlbIssikYWMBjodhQEqOpSJukXetTMCEPzJvB6PiPzF4KBhggkUHNxBFKAtf9rGRAj6RbLRw1nc
CNLDkfBlPyUxIkZG/8ewOWi0l36oQfNVha02qGKLxOuE7RWwCDgaVJe+60GRuiYMNBH0xla8rv35
CpyF+5tqaTq8rGVFoBX2cQjBQnkWW8JcOFozbiSVyCMx2EMeOUiA13TBnoo36rHP2Akokujrylkc
llddrScFR3nGSTQYtJoWjpCcQwEkG3swWduDi3wnTjKD13TRPdIdqBxySGLiG7w+lkDdN2vO2hJI
KVCy7vRknkgGRNuTHOoXR0YwN1A/McobOpidZGaPnKuHpi3sG+pzvDVFNySLt8INUbnmIHpp2rH4
U4oJkM518Z1gfWN20PGbwb5byHdyIcMEihfUPJ0gxz73MKTtoNqZLhF0UZq6NIsdoM6DPoNpzR0F
Oq7ojViTYv1FK1C2ixTDFEH/XR/rQzWvAw0H3Y0W5GBQhiR0P4pWp9xXZTb6eka2CBRONZE3Kqhe
zsc6CMbDe76qafPvoQ+yd9qAmyIibnwaoLnxvulBBa8P4OdwzOGkY8C4LS0GMvzHCiXxkF9ysczk
E+bLmvIbkPOq/q1Tqu3IsXVDhqBCB0BbUglHzKDHf3R+hb09zAvZ4lqgDBSTqQTKiHlermyt5utO
DWnYCmiTzw1U+SqP0K9tNBrOGDJp/iyQ7VZ9qBgUAq6w0tn4uwNFKBuL/LEV+B0jA/Tpa3GdW8gn
7clpI8gI7P4b/wNBfuevq0t7Mnx0DfONpTppOiglo4KTOn0xRSQsBoStvYRpkK4jxdxlk3oPycXn
t71TmTnZhte80HU93/K14e1hbebqrGETPW8Q3S5sXKZzUFj8OxkFKRfF9Y1skkGgZU/xfQVOfc5q
7ocCok9/bmNvfq9R4w+LwhXUyIamMyjCQeoijl/lPfrkOwhHN/fiWsxNf5BMa9hdlMVTKxd2bH0z
vt5ak9ARqoV0zFdEDXissF90P94SzPqryLL6yk5DOvIBpHE4IFOfT35UB63m/K3sdYDzBn3ztRlC
dTC6r4uVOXfglQqX+Ubsaa0cdKddzxl8Ol9dyVonTzN88iKHOvFzXPx4Bucxqq9BdeasW7DZilW1
/KRb5G97Bj2DwoB0NBQZ9fXdvGz5vckcB4lhtO/nnDRHRBK6ZEjppvBZRq8ZyIenmAb3MLSyegui
ZgPnqBJVXzG0oKDOwj1+N5FWN6d+ddkRDza9GyYGQghAwWFYl/GSDnHtCm7nvKykqnT+ezMRtV7A
yYjxy0BYi49+7BOUX43VazFRnj/kiUt7yKosXloFxyQODKf27TLRDuo366/4kHAoq1z7e9QO/fUi
GboaBN49tOJ7b7ee5ssFaPYrJLvpAlT57LLpqCaHHNDvK55n6opty7GGcr7PPs59mB9Cli0lafB2
PwytJ3DSoYdjjds2gOdq05sCTnLF8dBvc7dcirEOdYFw39ysWAIQQ6lXTjM19JLlyPSXcQnxRPqR
XHFjlwIU6A98Xr+gsapuGIbwmYYxHUDyRE1RL3aSB756emQyuZtes/hx7Rfgigja7vVQjB2czehK
2dS8L7KRsnvomPuCEuPOPAgYBUE2vV2w694Oek1d2aVU3wW9ht/j0ltShGVcygrHvi1amB90gnPQ
AiHwFr2VbMnnN4oM2pRum9r71vZbAc0n+8H5JhR9P+G3CpobFz2JeTlGVF2yxrH7IRfLdQt9iAna
IWyEQatUVGMWoFIe62uRZ74pDO7UfcyAbB1y4I1twdshvBGz6E4A9EKUqtnkecJev4HzQ3DmZNbx
jnjXn03jgs/afhL3kVZ3M9Tvd1uwW34WerYWbbD1wwoGOdNJjuMR6Ol6m6LiVRFZgE5yV6cC6Wm6
EKrrzwLwY1zUclB3yiX1mS49fd/Gyn+etml7GMHBD5P05BWDAw9nCDLFISwh3QLvzQo+u+k6i0P3
aUPenVGDKzgxBjL3jV4Rg1y2ACKhtslBp+KdOJfQMCr7wbVnHR/jHZw5ozD/iVxi5OipFXT4CHph
eKOcjud4NerW2rhd1UMbjosEyIXy3DY3jqF0GUc2v3FDFd/HPGdfaDcBOJCwTjdstRA8oLW9xjSN
V0uU80UzL9SDnpS7s0pYdoCyHU5+ghyjLrYsVtdVpePbjeT6LgdJ52PY8vQeEn59DsEmX204S3C2
SjQnoyp+DZ13TMtklTnk2+oo+Ht0p63O/JsOWgNv6sX3oYQTK+gU5zZ87NPIaij6t+06KjZewQGq
DlQL69/XdFMWMNsuRyq7/BxDL7Kc+o29zqeaQscgZl+zisDZuOuVs61R5WoX4OAHOYLUnl93nE4y
HZGPnUmFUX11PWd9/QbUH3OTsdV9MCnewzs1CNAN/jBYYDDtKNubRbVwLJT3uLlUviefxqwa59Lo
Gb2CI0jjXUOmKZxpYigrlcbyilU+5ieFrFOXVuf9AfrLbCsm6MMfcrVZWbRbUlNhaeVufAbnEK7W
LEiwtUBzitdBTdCAwkvE84Vjwb6mC8veSqeavhRL1P6oVR/ftXUz2SO0old9ZZvON4csOg4nNasK
Z2dyGobt3Zq7OOqznXqggwqLN74Dq/m57i470AqiKbEE5lJyO1bTK1Bx2qGkI67fz3Lza+mREddw
jLDChxkDRbxKIBCkD7yBqjQCjsQ+cQHEqXZw3Ol8SkJecrIg177f6FqRqViXgNR4SQDs0EXOoFNx
Fszq4kFPAx9vVVZ3LZwMqo2KRcyq2nRlxtRy21A4zVMQzcxbv+JsO5uhAG5LJANB17NqF1eSCP2F
V9IAnB7g4N528KC4XbYkNaXAsrtM2boM7WuzZkJtFMzv0GIPoB/Zbj891hNuX6fE2jwdVtEKQ0D4
HzzEQw5t13LEK7FHhkejrzsNXePCOpCfyy0twRXUrtCQkmPbnbuGcX+sZz6/6hqQbw/t0izntGY4
P4gcaQlSXRvxRVfHHtqk/5eUc+uNG9ey8C8SoBt1AQb9oEuV73HbHbeTFyKO0xJJSaRIkSL162dV
0qdPnzOYzGAG8EtsVUWqkjbXXuvbtKQMTbojlS+2dHuISO3LduY0N02ZiwwWIbzEl0RF+t3VkCaZ
ViE9S0mTrB/cmNq0hYQbI9mCGQAitzflWDyFKJclhJmtAptaVNINB8g4Yp59RRFaq6If1aQaMqyJ
r3sxl0k59ir1kpD7JHKF/YiQeaZXfK3yL4Nzn49jHD4Oo/o81IrwBm3C/LyDOelpRfU5xuIRo0gU
GrFcedxOIZ0edMbsyY26btWqDtWUwEdVM89kftbLVHRaF6GxFctRX902f90GepxKOSFeHDy9R/JZ
xW3izb52Bxab/LE2Y/ZcAmzSHXPwoHA/4IZpwOnt74lU4le1LqbqTVkOd0Yu8tmuZht66wdHr+Fm
D2UTzb6+niVfu3RZp5NYKXleRJz09TbKW0FJdJ8Kn9+mCmGqHAxC9RptUZem1H1ZbGnPh0/TqYlL
LMJdXLvV9Cop5AO4xn27VnqnTW322LerGHibF8appk5mCrYVoKa9NgUurg8w358Pqtk7RR6/njly
v07jodybIwj9gFUeiz8rxNQxDn2BU6BPWHXYyZZ10dpFjS+cDclnOIL+BJioPsu4nk+lKvljxGPd
urkYX+Nl/jhxEGoDGrdTmVL+Se7pJhuSSfkpi6m+sWlGfUO151XLYNreUJXioocYzjvzrkUTnn3g
aEtu3J6wr2LMys+CDsmrSLL9ziFR7oha5XUGK/sFoUAqLjXNqybj8XpfUJpBt6I4Xm7C/GsuLk16
WObLqu1T8yZdFbF+KhgCWpjcsrheyMJkazTzGzKwQ8LELHeetNmEOtIUEePkflImfRvHcRNNOuEc
Gj6VY9UKvG8LWw73xBgUuZ4Lm5YdWng3aWgtMdzMSm6/K3RtYytUlsWfsfDuuqmjandX0SaKblM8
umIrST9eeIZTcjhhGxYi9YEQz9+sqxSWB3SeJ2kpKC1JSXaHSFHfqgDYpdEDJM2dN1a9iXTzrDWw
P13D3OS/blvAs4KHEn2aVXBX3x3SNNcgKXT9wl12A/N8AMrF/AExD5z1Ww60lZ7mctxu84D+rYkg
R7ZuomtE+midwSLHhyMvm5mmT6VyvhUmM90UR2v8YPcyeUbqV9WglaDhmmLbx+m8Q1TdoPote+/X
ceSQcjWkJ+iSSD5k455EraUXQjDMMVG9Vg6TDyBlcBO1+TiPPBfuNLgCEc8sWi4g0nR/aWNdS8PK
UmjqbKHH62LsIj6kMtlNh66CCpS0upCHanVihymcozjlS/6hsBmtGpGsLPsyAWeNltZFlef0hCBP
+PhejLKQdYtu2+eqscc4G9uWWHBJ6EbkatXUWFDmeegWF+gsbkNFYem0xqIBU4+Tg2uVNR74eW1P
2qqVvQ6DyOXQ7XhUEO9gSihbdOP8KovtNECrLdd2tNH8h1mNd6QfwWXNS09WZIDPNE6RCZ0VAK5t
6XTIo5g/cqsEvoc8AsZlOQhrZBMO+D0u/9sc1WWMz9HwJXS1Gj15JZqk4/MPEzlSlyBkm+qLZZsm
1KtbDFFekAJwDJd8Bs/hUb4POY19cQbvfeB5WxNTs09W7WM0NksFAy5CZ0v5XmCJQDneXuwIQ6G6
2yAo/UPM6zjkrR2MXcX5QOqGbwtLHpf8Lavs4uaOTJsNy21mcXlHgyHSNDUtYJxsps/ZRhQr+gIA
LctuYmvXIMFHsQ0aB73DsJ6UqjjqcbTJToCOuk8BmUG6qxoVM9QMIqrKz2wr5xAU3GEHh5e1QL3s
tOf9sPicTb3aQQLV8A4WWd0dkH5VT6OpoEjnHK2VbZJ8rfO+DEeWn5FHzi+qstPHCNTP1qQSQ3FN
bvHs9KBg5vd4EVBZoPJHLXpZmHrsnAY/45sjXRGKHoUN3+n/m5oN7pGA2r2CP83uZEyzVqSFvedJ
CHOvshkQmasRUKtoeua138vrFRKubLJFhbzxyy6Ws95i0JW+UvuCoSEn3tURU4HSms+0KbCO2m7L
jvBkWLR7CIRo6qFA0SFSrgg56yLf5o7OlX+LDuqDapJhX5OnSjBBOgwPL191jGC9MdyhNViOyKEb
0TwZe8gJba7sSIR7HyJ/cVygqNOlPcQ4nDA/5mh0mm1SARpK13ppaZxL2echNleJkeWnyU05DMuS
poNsYSgygg61DOZhrorYdmlM7PYKJAM4R6MV6L8WrMnqIJCSFLwTzK2HAZ333OQrdPi9RxDomz0T
ZV+KYrqJBiOB2FuCoQ8wf2oGUpIGa7pqITWismgbz5inwBdT+iFqMjB/V6uaVt5aGGZvB0AK3Bu0
/tVGscR1HupUJMo/BnzZXV7Tqu45mI9vEaAqmIdcDXcRyrD5jOZyH38t+awvqitL2RUUTHGj85Kw
N5TILJwzl/MnuWf0Hvjm8D7oBJ98tR8eGB21cEaOg/lGsXj/WHliH3c9jbgEjNchtS5niWpazhii
EKR+SmAfll3N5X6dwLRg3Q5m5/c9yzHfSITJr5acc2CTmjyvdJCnLV3i10KbpKlL8JGjng5MDpgj
NJjLCg+Y9UxZl1rjMGw2LQD3a+Zqdz0UGtScWQ5gqgPdPU63ni7IBrrhVi1lSE9IrpD/xhkGHrvB
ZQ6lN8IcBms2VQJ7zAazQhQswdxnVtm7IU1c1cVkUOUJgIb6bfflBhp6W3CVoBTKz7keq6GZIcA/
rNFF8Zoqr5YGmjqwphC0BiYjVjZ2WNA5iDDYJY/HDAegOQqlil44gH9dFs+sP1aP1wwEmB9wlll1
LlN/7GZc+pQa3+4bCZ9KVAt367dFq25aXfVkiN4s/jtCVjQEDC7QnMr7bKLpbTVOogS+RMPc6ITW
t1E0pm9hYuLGR8o8giHkLdi09AumdeyC/KOsQ8uI4bot95yFzu6Bm2bS1UZ7O7JqQv3V2XTLkzSQ
01bs5CWio/IPcK5EBjNAzqGZ1Jx8YjVIjGYGIPIgQb7EfbmTgKagTjFtsdKYzP2c8PE3QbzeW6yb
UHXQ592Y6bW6fG7Fhz3bYUNnqaQP1TRnryvoj6FxdvqUmVm+6k3KZmQLvEeQngC4BodbftKfhmiP
B2grH7URlMe9thg7MvBdPi+Dja41x0PdaSbKD5vd5M1GVsyg6FLcwRcoryIaVy9wjFmJ22Ao3lR6
ZL3PY/PkdEivhZFb2nJX7Re1Fs9AehZYPKUx1ZXJxqXojjqCcJpZ7c8LSd30hCle1mmYW53GrZ63
a0ZsD/mS3C5BjmAW9+R1pMG/1nRLGmVsjJFOIvq5mugfwJ3jLif59rGC3D8nOU3eJMj41xgvIU3k
8cFhFOEVs0DVvQd8cFZuw1NX2S8Ap7dHZeNAm2qTcYLn4Hish0hA0ST5fMZ6oBe0GSbrqhLQDF59
t6+p/p3D7Ogqj0Zlxazz0fgxkS9RNeXPfMzyuc3h6l8rtSSI6ECAiiz7Gizcf90LBT9Iv2GBErPr
kM1juuoVHa2c1ZPOjczJh42PK6q8qaoLM6VXzGUDXvCBzyuyBgSh8kMegPiE855ihiTtMhn7bbyO
7Tjz4xqAedg+UuZ38pUsuRRXXFbzlrc01/EWdZUj+a5RvAQoG2Rt4DZ4nbAi7gAEJgdkYxUH1mpR
6Nhf2+DhYjZF6skpz5e9+lwsy4aisiox+Ql1jIwx6aDzwE90USiGAaBNDvYLmDRkPGivgBltPDTA
63MCRHVU8lu8RqE0HYJWAIS9UXsQI5JUNghQTGqgF7gd9+CKGGTgwxGvv7qs2tDCsMwXWr/IaqeO
dwiIK/R9GGVinj9wLo2VndmLqkj6WGXWrG9WHC4JDd5FsdDuMockaw41ojJcUYxv8rqFY325krwY
4no6j4N35fq7jYYjJQ2jlcDfwOiXhb+NNoOG+ZYHQ6ei9XFdle7083juXxNypIYgQGJEh5dJXgSw
l4H/vxMSsMqqLcb0wrdZqstsk/vBuGRk0QjKTTnmFkiai32EAQzGEdH9Dyfwr/H25QQACmB4t0YA
DAz9sgnA30+AkYDZqIGV7+LHCcw/yJNZ1BPuuEgiF/uRlP65f8Ljj+Txxz4AX6XCZM0w/rkHyV//
/OU3OePn+zYZ//zlf1w2RPnHK365/8feJz896vxNXjZDMP9+0OVs/nqvf+78cNlD4a/dOf5tT4Yf
u6X8/K9/bW9wee33fQ1+kz/fEeK/O+jvG0P812P+r/tDfH+nXy97v/zsHf5/u7FgQ4o/v+uffQj/
q4P+/GK+74Lzy38CAAD//w==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_xlchart.v5.7</cx:f>
        <cx:nf>_xlchart.v5.6</cx:nf>
      </cx:strDim>
      <cx:strDim type="cat">
        <cx:f>_xlchart.v5.5</cx:f>
        <cx:nf>_xlchart.v5.4</cx:nf>
      </cx:str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regionMap" uniqueId="{B0336B34-E6B1-4F7F-8104-6DA32CB603BD}">
          <cx:tx>
            <cx:txData>
              <cx:f>_xlchart.v5.6</cx:f>
              <cx:v>States</cx:v>
            </cx:txData>
          </cx:tx>
          <cx:dataId val="0"/>
          <cx:layoutPr>
            <cx:geography cultureLanguage="en-US" cultureRegion="CA" attribution="Powered by Bing">
              <cx:geoCache provider="{E9337A44-BEBE-4D9F-B70C-5C5E7DAFC167}">
                <cx:binary>7HrZct04su2vOPx8WYUZREfXiTjk3luj5UGWT9kvDNlWESQxECA4fv1NWq6+ZVWHfPr9+sE7xAlA
InPlypX455flH1/Mw318sVjjhn98WX57qVPq//Hrr8MX/WDvh19s8yX6wf+Rfvni7a/+jz+aLw+/
fo33c+PqXwnC7Ncv+j6mh+Xlf/0TvlY/+Gv/5T413r0dH+L67mEYTRqeufdvb7344keX9tdr+NJv
L+9u//vliweXmrS+X/uH317+cP/li1+ffuVvI74wMKk0foV3qfqFI8oloxJ9+0dfvjDe1d9vZ0r9
gnBOBVVMffvH/hz75t7C+3euSQ9fX9ym+/Qw/Hnr303r26Tuv36ND8Pw4vvv317/YSV/u9sMvnw0
Ren3ud/dflvsrz+a+r/++eQCLP/Jlb/sxlNb/ezW3zbjf7v+/78tTzbhJ9vy5Om/7Mu/3Plwn+6P
3+Lgf333z+1+8upz4fQYaRdff3tJGDj/v6Jr/8T3954JhX+993A/pN9eZkL8oiSlgksIKoUZEi9f
zA/7LSzJLxwThXJFOWciz1++cD4m/dtLiX+hnEmIQpJjwl++GPy4X8f5L4oSjpXCRGIlifwX8Lzx
Zq29+5etvv/9wo32jW9cGiD0IdT7x8f2We4jYoKUwJRIoWhOYAL9l/t3AG7wNP4/BrfR4bnjDzmu
0qiOpGd9ZkrUT832gfOx7+5ZFvlwcmEdVnZIZOF6KTNfoc+1i8xlpSdLJy+V5ut46FTmwvmsrBle
GW77bC18t/D+M+9Su/gD2Mq0tKylZPhBLn4d3xm9SHOf57yvvlBLg7ipRRN6WljcDDAV1vNoX2uM
0uwOteGx6ws/c2uvsVwDTLm2Fq9XxFLX/pENk4d3/rKl/8ZI8omNFFKEKS6YErB9BIFH/NVGEttm
1ELnD9XsXRvOk2WGnRs2DVGeb0Odmrncmt40fxhUNaQ6PT88Jk/Hl5JKShjNKewUTObH8beW5oNA
ovna4o52TZk85VQXSpEstKe4zHVMh6hTzXSRsWzr3ZuZ0XUgJWabmOllEtoNXeF9oBHfKJ4HuPf8
JMGF/+pHElFKWQ4uJDBTu1v+OMdFNxnRkWZfRRYnRA71JmsZTiZniaLCxSTEp46jKl08P+6TvdnH
ZYpJQjgiKqdPx+3H1Uuf0fxrvYLPiWJCvRl+16wiri7mthmb166ClJ8KrT0honh+ePW3ZUuWY5YT
xXhOIIZ+XHbNpyZDi6ZfM2lkoCWfkeD3EEhZuvBbI81Nk2GPX9EurONtNyC06WLQjQGjPD8TQIQf
N4ATwXLOc8EFWIM+2YAkGtSunau+VGpzPJ750NtqPWaVHdR6tuZxgV15fsi/Lz6XuWCC50ghIAvo
x8VrqSvTrih+ZWKGKD+tWGy4O/E4jwM7NnnFxKc4gtVDMQgpxSeP1imq49R41M8/cQT8BMkk4gox
iBIIVApwmj+ZTa22lqs+ZZ91E6XNzpek94Cwi9fAMca5ZRsrGzuspC8WRSjMijdIj7e2F+1augxH
d6usttEdAveRvLNT44bPz9tsx9O/4K3EmCLGEONYAoZT8QRLxrnKIwrb8nmJKYIToLFDYCy0zJRn
xRLplN32pAt70KTZ7z9NX4//qbEwFpIJioTKGWUAbT9uXR7IkNZB+M/O8AwwvAX02uZiWlFa+RWt
OOD+UI+xu7ctd4CosbcR8/M8a7OpK4IGtN2Rf9Xwlms2M12xpeu9/Qms4Kc+hncjSSJkTmCHhXiS
nxY6u165jX4eKiIye2zT0JvxTdhS07tyDmuAyWXSTnDPr8H69ZB325rdzn1fXQwqmrYu7bah9crq
4FJVOIVElcqRo8y8E1bVmy0JVQtAIsnaFbtLtCkDX+2aag7hJ2GK8RMHIALnSiiBMOWCg7P+aHnw
TBcmN/WfJPe85WWPcg6uWFWjUrHEm8wA2qv1ET3NyODe+A1OelzlcGuZExXhNM705wHNnqI4Abah
IJAwJnQHkidu0S3dYCvt+099hCgKRzp0OXtFsKbrFR3GFcyhqslsH6xe1lUWo45z0CUA/ize1WGr
svNoWbt9iNk4iJu8ETtBWNhkjTrrRr5vjx+oAhdaJ8mnd31su+3DZkQ3dwUyZk9aDVgfNsg7peEi
XSMwkdwuC+wd5e0KP8OG6pQfej7Q4STkuO9dt9QNEIzwbXiV19k6F7lfWviEB/IAM28yt3OD1HPb
3S+DcKE/qSni6ZZRv6XrGLsqFsbYSGyZ1ZVdzmsGyfWjy13FPkxowuBkMq+BZ0zBeaAoz2PDUwgH
60skJZReTApO8RPXoNXqaqx682nDdoh1sRAk+6GYfevNBR3DDEDx/IhP0YhIwCKCIW9jBrn76YhD
RIOeLZ0/0m3cnXEe2Q5/ZJAdJG8xBS4+VS3dwAlnMqahfiUBWMBPn5/GTmd/QEUqhSASEhcniDBg
yT8GxUanMWRK2A+WOZtokfzIswcfdAA00t3g8DFW0jdvpiGvAXF6zX19rPNEJl/kUs5mKhKpw5Wp
cnG70GjytRhmLKZ3Kc9QUwa+Lf4KnAjpokWsavqCVQLvwa4R+KGfNLCLi6rt0h75E+P0NYF8368F
7SJdprPnV/wU13IKCQroBqx6L7ShJvhxxZ2otJvDIO+m0SEgsTxGAiR22na/ZUCy2LnG8wJuu3SK
wk+dvjHbTPS7S9OxnUl1Wy1id2kSms3G86YndIfIsA0In4KZ+qE52/jaQdRVs905NV5zC9EpcYAw
en5J5Amy5cCAckibgGqwgxijJ1AdqLObbx25y5OmEFupr/cJpIyOe+h+i2OC0Apzq/Syhzhg5Q4p
sQ+QaDKNgcbjhe+XfOiG7t6oVrLzZja7HcI6e3FThQWeajTdl7jWVgynLpORnvo8TnQoV8gXsNyf
LO0Jy4SlKUwZwRAqiDPgez/uVlo6LM3o1ztaTztSpRjAtTazNf5LQnlHXLEmH7YPkrg9P9rMY9iQ
RVhTr8fNCpzqk6LZON8BS41gjlm2FLyPThugiWsyBS7GZtPv6DYCbJ43pJ8B1hIwEhiwSRWCv6DG
wmAKWzMwRUpSZ6nkZmwhJLQiLfz1aJ8dCrv7543wJEZzoAvAriThOZSd6G9UF88bE6sI2fvJSg/o
8Ehvic6XqSuhstS1+xksPElH+5CMArFHkJaQANb0o9lR64FC9ot8P4wYPCStKYFDQe4H+7C2Z54f
qznzy1AIQ1cwuJkqB5QFQA+sNMfFpDdSDHnVnqrEcgADCMjpXQQxDDKAzSDw0+IgUX3ftjrMDky5
mNxBrEAU7dtRd8u+EVnbYPhRa6umd8hbDzPhXQe5qRNpr1OftzZTFBb3F6YIi9+TAIAExgxY0NPK
BujgkNVoWd9rvQpTFWnsaF9WM6raG0E2Ftdj0FH0eaEIUa0uYgxNuERmpAsvemA72VWsbcZeVVZL
WobZL/UX1Bh0PlcjE4dOOm++stZs8Z31woLmuWEzv2YTRst2yFuneF8G4I/DeJpnnk83Mehq8YWw
yOJriiJWB+eiwmW7pDFWhV/ysLWFdlNkS1kv3QTBMG1xXk2xZLxl7UkRPLJbYdLK6hIteJzHs17N
GlfA36o6XSQtgZmVcjPztkFZC67YXyzdWo1FGPpWnCYla3rgNlu297PwpPkwMlNXB8oSweUK9alf
C1GnQR1UQ+aurLmpzyWh6RA8mrerSjmEzvCMNTnV2ZBrdOw7b9ndyqe6y+6UR8vyfkkLTa+yIbns
HWQMOX7lUYh4t8mpdr7ovcd6eKuWzXRnVQPqxmnzLLe+UJ2nRJcybkPIP2Pb5u6rJr2flgO4yhoe
1JjmGZWdmQfcnqfKBZ4foA7gRpxVNuvEjcIy67qzSfRkMPpB544msPKCaR7Zq436CVx6w3Ho9Vsq
UBLo6Bzre3kxqqrR5trxpQv1sZ3qNE/XM6/qpjlVzM4jf1c5QsOFaJmu8xP4iqBd0U8bgrRuhryZ
VVFnTIR00FXc2vVirodMN2dzYyHblJ2aGQDs1Dcj/91no+DDBTjHnFXlTIG24JuxB9alirTSfBGv
DZESftLjxaxpDNxDCqr6WG5+YOHzNgZFpstWxL4m53jJMinLteXdKM8W12JrCs6mPS8injWwnJpy
SCr3S7UKpMqWa8Xr1+vcz71801ZZO5uT7GhG+otuXFU+vRYt5Y0qglK7JiFj4rr7IOuqyrYrxswA
lsrWAJD9ClA7aH6V0SpKc42b0GDzpm3nNq+OcwtAUB99gynMHSBrn9I6ZQaRI6r12oQD6rs25geX
UMbd76QmDsazrVHqbqzzEMoIdTBYluRjAxmkxELvH4H5A2UpQlA7p2d6gNWXvcaOilOr591i1KQO
fvygU3brrNwhn02pzmWp5uTBATYHfOMsqWjhuf5xqTrxDcwXWgn/IJcMFYxmNIYi0+Fm3x7cM034
/2Cz7HZ2TLWgJWVjFmErMtflmj2EAAVNOMWmAaZVzjleZSibXPMxgx1kYxg/pNaNjQN7ZXrzZ3rc
GF5e5a3cp9zATvfbrQDPghEo3Aqfq2zZHUzEbN95vmZwzSi7m2aaMDwKKTYPM8xhcgMMW35fT4yU
hs8guGm4xpfei9uOs0rRks0KBKCilxqDLb57T7UNCj4p22xfXJXWb8YYwWti+Z3jKr7x/S868O4V
RU3Mbr+bOnt8/E8jPz4HSgHpXknSW5gAdpmePneN6Jt41ji6wqID2aDVVNSE1g26hQK89qrgjxvl
tymBq0HlPcb6wmG1VrzAnZ5W8VrZ0YOVJmINPEJ60NhiCTJHNamiQ+tOemvLCVw0skbhs3q0oO8h
ggDXHtekSQM1Wtl7J2Z8vo75Xp2jx619dA9RdQbsI1gDbxy5NPviF7Fq8NMax30YzbSAi6sPSOq7
LWvYmC5hpXQ376MjbeM6wixhkftXcBMHeA8aThS8a0h6n/qjQbNt3uAPb6hn8pgh7rr2YiNcLv1Z
jUDRQse5GT3EtGrrXfkYZtjfZpIkfMaiduA+AwfGCouPE5Dd1wNo2fsHybT/sKnO4cc4tIeD3fg+
fzeKWs93o6lN3ZxcncN3daC4pufdsEqcruijrzTtoJI8+25y1U4RprM0tIOPQAbwMHjbNx3k+QmH
TaA7YG5tPh36kCXXlGioKxict9pDyZRMD9qmAcEAJBvYJj1eSF/v4TxCfoVr3TqKNj91QBaX9ZKq
wSz+PDGPrC2NYsZORTXUIBtihUd4XqcwwA+QRm5ubBjh/9XOIKJxNGOQigJo+eZm6lIFosAcWxgd
69pPH4SrFqgCqnXbfX9WAOXtaaGBAMLkUZsxPxoLKdYel8xVarjgClLV8hGJpQW8qY33XXf+XU5u
k9GxPY3aQL37ZWUDo/S8bzWY44x+i5ngcwMGG6q5q7YPVOd+TneBznoW5+lx6YuqBzAR7ZetgxV1
9Tzwo9gQBpRLke3mw0u/ew3oVbuLP+qn+dDNYAE8kn29qWkI/ERwcHg+NCCFZkVjNtCVFSOdUwVI
Fquwr2iPIzwhVrzXsBMfB/CrR5Flw9zE6jS6ECtyUVdhg29sj9JbBWU5qIaBsw700gp3UPpaC7WT
K5MBYYJf2U7s8ZTY3IAIX3d5Aqikoloh5w0rIE17glpvN97Y0F0qIGPegRbfGlfD63E1sMqPM9Cz
KrucqyHG5kbRdhcp/Qjp7pXsKirSWwYy1lodl6rNVn0Sc8/NcADpAgtWSBCBxCdWUwwlOSRDBZu/
ZWyDVQln97RhebW7WyQRg/M9WrJNHpRo2qCGTpfzxm0l33bbOGe3Ecg0qApbH5T4BHgL/pXN/QYW
aBna11D1LgPwh/JyV6lMA3wVmLWyfu4/CbXqgD+zxQhzI0To1+rEiB9S9sfc4HapjpDRqOHFYED/
zsrcYBk/gCI5d+k9qkNb12XFV6qXd7MEbhO+qqmZAvk4VDlIE2exGyeryoxsQ/dhYyNhvhghOyxQ
7GPsgVNKydWIR/By2ypSTnAxk1MhZ+hMLYfvK3ncy9C3IBCXnNN1X9Y3uDFm2vFPrfWOJsD+9+Bt
Brs/4b6p91VL9mscowyeWOt1f7CioE7YI1Tue2+jMVUPoVwDW6xutrTi/thCoO5Rqex+57vLAqcE
JFIcmj3QAvimh+9wmtVlXNZIZYFJRPmbUct69sWMHKjnbN0qRS7m4PYor7NtlwMH6BPBDwNali7C
hsC/GYL+ww3olvvMuwY6jZ++D8SjgpQWwFWy28eKzTXtJruidf3I3naPgNU9Co0hx7sYnZmwi5BD
FJGxg61t8FWhgxiz27HhPaw5zdDFmy4bUu80TrMFxpCT2ac1fgu4zHeQR4qKj3uQ92RvMx7cvOw+
KauNdE3B9eCsPerWQDSeHg0COvAOel0OZxMA3gectVeaUCPznwhfTwp60HIAH8CDCYCbwH+TlXWC
HgLo1eRWey9g1rKuF4iG2QPMhoztEWQmEF50MTVhn/tPqrsfa7t9eLE3TpDiHMP4TwrbOC4+mwcJ
UtUjNLagAcMsoA6ASHp+qCcCOkQTglMeMBZIVvC/2Mv6vzR457wLeQVU8k8fQd3ifRn6irHXUkHP
ChBZ6H1Tx6aFHfYsMtiy7+D4/Fx+lBA4QuA/OeaweGiHg5+TH+dSTZSAfNvWtwq6auJTw/HOx4ch
l/S4eaDOP7Pz3wckSoFwIHJFQFxUT3TFTkeEjUXVu7A4SBR1Bxn/Qq4dwNz3yH5+gXiX7f5f0b6v
ELRbxCUmOcHQjnoy4GJaVrtkxLvviDHrbRftV0FXzk8LG/Lp1PbVFt+OM13bgx3djuc0AjRkw8Yg
H/1kRj96OswISqlcQfKSijOQ6J4IjatC2SxXGt6Zx6CagddBjC9jVwGuN/nUwBZoNq4QmYpCcgBq
kel9Im1Pw7iVU4DK/sQt9RwVC0DLWgLUB3gc4qPCN81KoZ4s58d+Vv8Is88v4uk2wsYxRBGHjgnG
OH/aZYW8GxJZsulGD92OTNs3ItQP3I1v1ywf2fV/Ph5HsJH7PyHEE5vJBdgIydF48z3tLbUObYE8
IKsv4tDU/5G0xhFI/jgHZRGAG0L1b3BA5wqU6Klpbx7TEpDkfTdkZyAu3BD2hPH8And8+YubgkNA
+4lBBMJ5FAaK5hM9c163pYkb786ly2LHS2mtpJ9EhID5WQj+fSjYuhw6eDmDSl8+hTpbEbuOtajP
H6nIxEEdAT8iwcLP86t60luDr8MJDQXNeLAi1AGArD/ii0NJV+3Sqy+oBZn6e1gR0e1UMVK7l5Nz
PjlbIssikYWMBjodhQEqOpSJukXetTMCEPzJvB6PiPzF4KBhggkUHNxBFKAtf9rGRAj6RbLRw1nc
CNLDkfBlPyUxIkZG/8ewOWi0l36oQfNVha02qGKLxOuE7RWwCDgaVJe+60GRuiYMNBH0xla8rv35
CpyF+5tqaTq8rGVFoBX2cQjBQnkWW8JcOFozbiSVyCMx2EMeOUiA13TBnoo36rHP2Akokujrylkc
llddrScFR3nGSTQYtJoWjpCcQwEkG3swWduDi3wnTjKD13TRPdIdqBxySGLiG7w+lkDdN2vO2hJI
KVCy7vRknkgGRNuTHOoXR0YwN1A/McobOpidZGaPnKuHpi3sG+pzvDVFNySLt8INUbnmIHpp2rH4
U4oJkM518Z1gfWN20PGbwb5byHdyIcMEihfUPJ0gxz73MKTtoNqZLhF0UZq6NIsdoM6DPoNpzR0F
Oq7ojViTYv1FK1C2ixTDFEH/XR/rQzWvAw0H3Y0W5GBQhiR0P4pWp9xXZTb6eka2CBRONZE3Kqhe
zsc6CMbDe76qafPvoQ+yd9qAmyIibnwaoLnxvulBBa8P4OdwzOGkY8C4LS0GMvzHCiXxkF9ysczk
E+bLmvIbkPOq/q1Tqu3IsXVDhqBCB0BbUglHzKDHf3R+hb09zAvZ4lqgDBSTqQTKiHlermyt5utO
DWnYCmiTzw1U+SqP0K9tNBrOGDJp/iyQ7VZ9qBgUAq6w0tn4uwNFKBuL/LEV+B0jA/Tpa3GdW8gn
7clpI8gI7P4b/wNBfuevq0t7Mnx0DfONpTppOiglo4KTOn0xRSQsBoStvYRpkK4jxdxlk3oPycXn
t71TmTnZhte80HU93/K14e1hbebqrGETPW8Q3S5sXKZzUFj8OxkFKRfF9Y1skkGgZU/xfQVOfc5q
7ocCok9/bmNvfq9R4w+LwhXUyIamMyjCQeoijl/lPfrkOwhHN/fiWsxNf5BMa9hdlMVTKxd2bH0z
vt5ak9ARqoV0zFdEDXissF90P94SzPqryLL6yk5DOvIBpHE4IFOfT35UB63m/K3sdYDzBn3ztRlC
dTC6r4uVOXfglQqX+Ubsaa0cdKddzxl8Ol9dyVonTzN88iKHOvFzXPx4Bucxqq9BdeasW7DZilW1
/KRb5G97Bj2DwoB0NBQZ9fXdvGz5vckcB4lhtO/nnDRHRBK6ZEjppvBZRq8ZyIenmAb3MLSyegui
ZgPnqBJVXzG0oKDOwj1+N5FWN6d+ddkRDza9GyYGQghAwWFYl/GSDnHtCm7nvKykqnT+ezMRtV7A
yYjxy0BYi49+7BOUX43VazFRnj/kiUt7yKosXloFxyQODKf27TLRDuo366/4kHAoq1z7e9QO/fUi
GboaBN49tOJ7b7ee5ssFaPYrJLvpAlT57LLpqCaHHNDvK55n6opty7GGcr7PPs59mB9Cli0lafB2
PwytJ3DSoYdjjds2gOdq05sCTnLF8dBvc7dcirEOdYFw39ysWAIQQ6lXTjM19JLlyPSXcQnxRPqR
XHFjlwIU6A98Xr+gsapuGIbwmYYxHUDyRE1RL3aSB756emQyuZtes/hx7Rfgigja7vVQjB2czehK
2dS8L7KRsnvomPuCEuPOPAgYBUE2vV2w694Oek1d2aVU3wW9ht/j0ltShGVcygrHvi1amB90gnPQ
AiHwFr2VbMnnN4oM2pRum9r71vZbAc0n+8H5JhR9P+G3CpobFz2JeTlGVF2yxrH7IRfLdQt9iAna
IWyEQatUVGMWoFIe62uRZ74pDO7UfcyAbB1y4I1twdshvBGz6E4A9EKUqtnkecJev4HzQ3DmZNbx
jnjXn03jgs/afhL3kVZ3M9Tvd1uwW34WerYWbbD1wwoGOdNJjuMR6Ol6m6LiVRFZgE5yV6cC6Wm6
EKrrzwLwY1zUclB3yiX1mS49fd/Gyn+etml7GMHBD5P05BWDAw9nCDLFISwh3QLvzQo+u+k6i0P3
aUPenVGDKzgxBjL3jV4Rg1y2ACKhtslBp+KdOJfQMCr7wbVnHR/jHZw5ozD/iVxi5OipFXT4CHph
eKOcjud4NerW2rhd1UMbjosEyIXy3DY3jqF0GUc2v3FDFd/HPGdfaDcBOJCwTjdstRA8oLW9xjSN
V0uU80UzL9SDnpS7s0pYdoCyHU5+ghyjLrYsVtdVpePbjeT6LgdJ52PY8vQeEn59DsEmX204S3C2
SjQnoyp+DZ13TMtklTnk2+oo+Ht0p63O/JsOWgNv6sX3oYQTK+gU5zZ87NPIaij6t+06KjZewQGq
DlQL69/XdFMWMNsuRyq7/BxDL7Kc+o29zqeaQscgZl+zisDZuOuVs61R5WoX4OAHOYLUnl93nE4y
HZGPnUmFUX11PWd9/QbUH3OTsdV9MCnewzs1CNAN/jBYYDDtKNubRbVwLJT3uLlUviefxqwa59Lo
Gb2CI0jjXUOmKZxpYigrlcbyilU+5ieFrFOXVuf9AfrLbCsm6MMfcrVZWbRbUlNhaeVufAbnEK7W
LEiwtUBzitdBTdCAwkvE84Vjwb6mC8veSqeavhRL1P6oVR/ftXUz2SO0old9ZZvON4csOg4nNasK
Z2dyGobt3Zq7OOqznXqggwqLN74Dq/m57i470AqiKbEE5lJyO1bTK1Bx2qGkI67fz3Lza+mREddw
jLDChxkDRbxKIBCkD7yBqjQCjsQ+cQHEqXZw3Ol8SkJecrIg177f6FqRqViXgNR4SQDs0EXOoFNx
Fszq4kFPAx9vVVZ3LZwMqo2KRcyq2nRlxtRy21A4zVMQzcxbv+JsO5uhAG5LJANB17NqF1eSCP2F
V9IAnB7g4N528KC4XbYkNaXAsrtM2boM7WuzZkJtFMzv0GIPoB/Zbj891hNuX6fE2jwdVtEKQ0D4
HzzEQw5t13LEK7FHhkejrzsNXePCOpCfyy0twRXUrtCQkmPbnbuGcX+sZz6/6hqQbw/t0izntGY4
P4gcaQlSXRvxRVfHHtqk/5eUc+uNG9ey8C8SoBt1AQb9oEuV73HbHbeTFyKO0xJJSaRIkSL162dV
0qdPnzOYzGAG8EtsVUWqkjbXXuvbtKQMTbojlS+2dHuISO3LduY0N02ZiwwWIbzEl0RF+t3VkCaZ
ViE9S0mTrB/cmNq0hYQbI9mCGQAitzflWDyFKJclhJmtAptaVNINB8g4Yp59RRFaq6If1aQaMqyJ
r3sxl0k59ir1kpD7JHKF/YiQeaZXfK3yL4Nzn49jHD4Oo/o81IrwBm3C/LyDOelpRfU5xuIRo0gU
GrFcedxOIZ0edMbsyY26btWqDtWUwEdVM89kftbLVHRaF6GxFctRX902f90GepxKOSFeHDy9R/JZ
xW3izb52Bxab/LE2Y/ZcAmzSHXPwoHA/4IZpwOnt74lU4le1LqbqTVkOd0Yu8tmuZht66wdHr+Fm
D2UTzb6+niVfu3RZp5NYKXleRJz09TbKW0FJdJ8Kn9+mCmGqHAxC9RptUZem1H1ZbGnPh0/TqYlL
LMJdXLvV9Cop5AO4xn27VnqnTW322LerGHibF8appk5mCrYVoKa9NgUurg8w358Pqtk7RR6/njly
v07jodybIwj9gFUeiz8rxNQxDn2BU6BPWHXYyZZ10dpFjS+cDclnOIL+BJioPsu4nk+lKvljxGPd
urkYX+Nl/jhxEGoDGrdTmVL+Se7pJhuSSfkpi6m+sWlGfUO151XLYNreUJXioocYzjvzrkUTnn3g
aEtu3J6wr2LMys+CDsmrSLL9ziFR7oha5XUGK/sFoUAqLjXNqybj8XpfUJpBt6I4Xm7C/GsuLk16
WObLqu1T8yZdFbF+KhgCWpjcsrheyMJkazTzGzKwQ8LELHeetNmEOtIUEePkflImfRvHcRNNOuEc
Gj6VY9UKvG8LWw73xBgUuZ4Lm5YdWng3aWgtMdzMSm6/K3RtYytUlsWfsfDuuqmjandX0SaKblM8
umIrST9eeIZTcjhhGxYi9YEQz9+sqxSWB3SeJ2kpKC1JSXaHSFHfqgDYpdEDJM2dN1a9iXTzrDWw
P13D3OS/blvAs4KHEn2aVXBX3x3SNNcgKXT9wl12A/N8AMrF/AExD5z1Ww60lZ7mctxu84D+rYkg
R7ZuomtE+midwSLHhyMvm5mmT6VyvhUmM90UR2v8YPcyeUbqV9WglaDhmmLbx+m8Q1TdoPote+/X
ceSQcjWkJ+iSSD5k455EraUXQjDMMVG9Vg6TDyBlcBO1+TiPPBfuNLgCEc8sWi4g0nR/aWNdS8PK
UmjqbKHH62LsIj6kMtlNh66CCpS0upCHanVihymcozjlS/6hsBmtGpGsLPsyAWeNltZFlef0hCBP
+PhejLKQdYtu2+eqscc4G9uWWHBJ6EbkatXUWFDmeegWF+gsbkNFYem0xqIBU4+Tg2uVNR74eW1P
2qqVvQ6DyOXQ7XhUEO9gSihbdOP8KovtNECrLdd2tNH8h1mNd6QfwWXNS09WZIDPNE6RCZ0VAK5t
6XTIo5g/cqsEvoc8AsZlOQhrZBMO+D0u/9sc1WWMz9HwJXS1Gj15JZqk4/MPEzlSlyBkm+qLZZsm
1KtbDFFekAJwDJd8Bs/hUb4POY19cQbvfeB5WxNTs09W7WM0NksFAy5CZ0v5XmCJQDneXuwIQ6G6
2yAo/UPM6zjkrR2MXcX5QOqGbwtLHpf8Lavs4uaOTJsNy21mcXlHgyHSNDUtYJxsps/ZRhQr+gIA
LctuYmvXIMFHsQ0aB73DsJ6UqjjqcbTJToCOuk8BmUG6qxoVM9QMIqrKz2wr5xAU3GEHh5e1QL3s
tOf9sPicTb3aQQLV8A4WWd0dkH5VT6OpoEjnHK2VbZJ8rfO+DEeWn5FHzi+qstPHCNTP1qQSQ3FN
bvHs9KBg5vd4EVBZoPJHLXpZmHrsnAY/45sjXRGKHoUN3+n/m5oN7pGA2r2CP83uZEyzVqSFvedJ
CHOvshkQmasRUKtoeua138vrFRKubLJFhbzxyy6Ws95i0JW+UvuCoSEn3tURU4HSms+0KbCO2m7L
jvBkWLR7CIRo6qFA0SFSrgg56yLf5o7OlX+LDuqDapJhX5OnSjBBOgwPL191jGC9MdyhNViOyKEb
0TwZe8gJba7sSIR7HyJ/cVygqNOlPcQ4nDA/5mh0mm1SARpK13ppaZxL2echNleJkeWnyU05DMuS
poNsYSgygg61DOZhrorYdmlM7PYKJAM4R6MV6L8WrMnqIJCSFLwTzK2HAZ333OQrdPi9RxDomz0T
ZV+KYrqJBiOB2FuCoQ8wf2oGUpIGa7pqITWismgbz5inwBdT+iFqMjB/V6uaVt5aGGZvB0AK3Bu0
/tVGscR1HupUJMo/BnzZXV7Tqu45mI9vEaAqmIdcDXcRyrD5jOZyH38t+awvqitL2RUUTHGj85Kw
N5TILJwzl/MnuWf0Hvjm8D7oBJ98tR8eGB21cEaOg/lGsXj/WHliH3c9jbgEjNchtS5niWpazhii
EKR+SmAfll3N5X6dwLRg3Q5m5/c9yzHfSITJr5acc2CTmjyvdJCnLV3i10KbpKlL8JGjng5MDpgj
NJjLCg+Y9UxZl1rjMGw2LQD3a+Zqdz0UGtScWQ5gqgPdPU63ni7IBrrhVi1lSE9IrpD/xhkGHrvB
ZQ6lN8IcBms2VQJ7zAazQhQswdxnVtm7IU1c1cVkUOUJgIb6bfflBhp6W3CVoBTKz7keq6GZIcA/
rNFF8Zoqr5YGmjqwphC0BiYjVjZ2WNA5iDDYJY/HDAegOQqlil44gH9dFs+sP1aP1wwEmB9wlll1
LlN/7GZc+pQa3+4bCZ9KVAt367dFq25aXfVkiN4s/jtCVjQEDC7QnMr7bKLpbTVOogS+RMPc6ITW
t1E0pm9hYuLGR8o8giHkLdi09AumdeyC/KOsQ8uI4bot95yFzu6Bm2bS1UZ7O7JqQv3V2XTLkzSQ
01bs5CWio/IPcK5EBjNAzqGZ1Jx8YjVIjGYGIPIgQb7EfbmTgKagTjFtsdKYzP2c8PE3QbzeW6yb
UHXQ592Y6bW6fG7Fhz3bYUNnqaQP1TRnryvoj6FxdvqUmVm+6k3KZmQLvEeQngC4BodbftKfhmiP
B2grH7URlMe9thg7MvBdPi+Dja41x0PdaSbKD5vd5M1GVsyg6FLcwRcoryIaVy9wjFmJ22Ao3lR6
ZL3PY/PkdEivhZFb2nJX7Re1Fs9AehZYPKUx1ZXJxqXojjqCcJpZ7c8LSd30hCle1mmYW53GrZ63
a0ZsD/mS3C5BjmAW9+R1pMG/1nRLGmVsjJFOIvq5mugfwJ3jLif59rGC3D8nOU3eJMj41xgvIU3k
8cFhFOEVs0DVvQd8cFZuw1NX2S8Ap7dHZeNAm2qTcYLn4Hish0hA0ST5fMZ6oBe0GSbrqhLQDF59
t6+p/p3D7Ogqj0Zlxazz0fgxkS9RNeXPfMzyuc3h6l8rtSSI6ECAiiz7Gizcf90LBT9Iv2GBErPr
kM1juuoVHa2c1ZPOjczJh42PK6q8qaoLM6VXzGUDXvCBzyuyBgSh8kMegPiE855ihiTtMhn7bbyO
7Tjz4xqAedg+UuZ38pUsuRRXXFbzlrc01/EWdZUj+a5RvAQoG2Rt4DZ4nbAi7gAEJgdkYxUH1mpR
6Nhf2+DhYjZF6skpz5e9+lwsy4aisiox+Ql1jIwx6aDzwE90USiGAaBNDvYLmDRkPGivgBltPDTA
63MCRHVU8lu8RqE0HYJWAIS9UXsQI5JUNghQTGqgF7gd9+CKGGTgwxGvv7qs2tDCsMwXWr/IaqeO
dwiIK/R9GGVinj9wLo2VndmLqkj6WGXWrG9WHC4JDd5FsdDuMockaw41ojJcUYxv8rqFY325krwY
4no6j4N35fq7jYYjJQ2jlcDfwOiXhb+NNoOG+ZYHQ6ei9XFdle7083juXxNypIYgQGJEh5dJXgSw
l4H/vxMSsMqqLcb0wrdZqstsk/vBuGRk0QjKTTnmFkiai32EAQzGEdH9Dyfwr/H25QQACmB4t0YA
DAz9sgnA30+AkYDZqIGV7+LHCcw/yJNZ1BPuuEgiF/uRlP65f8Ljj+Txxz4AX6XCZM0w/rkHyV//
/OU3OePn+zYZ//zlf1w2RPnHK365/8feJz896vxNXjZDMP9+0OVs/nqvf+78cNlD4a/dOf5tT4Yf
u6X8/K9/bW9wee33fQ1+kz/fEeK/O+jvG0P812P+r/tDfH+nXy97v/zsHf5/u7FgQ4o/v+uffQj/
q4P+/GK+74Lzy38CAAD//w==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220980</xdr:colOff>
      <xdr:row>2</xdr:row>
      <xdr:rowOff>29527</xdr:rowOff>
    </xdr:from>
    <xdr:to>
      <xdr:col>9</xdr:col>
      <xdr:colOff>525780</xdr:colOff>
      <xdr:row>17</xdr:row>
      <xdr:rowOff>65722</xdr:rowOff>
    </xdr:to>
    <xdr:graphicFrame macro="">
      <xdr:nvGraphicFramePr>
        <xdr:cNvPr id="2" name="Chart 1">
          <a:extLst>
            <a:ext uri="{FF2B5EF4-FFF2-40B4-BE49-F238E27FC236}">
              <a16:creationId xmlns:a16="http://schemas.microsoft.com/office/drawing/2014/main" id="{229A26A4-821C-6888-AE5F-FEB25A709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xdr:colOff>
      <xdr:row>0</xdr:row>
      <xdr:rowOff>11430</xdr:rowOff>
    </xdr:from>
    <xdr:to>
      <xdr:col>15</xdr:col>
      <xdr:colOff>161925</xdr:colOff>
      <xdr:row>5</xdr:row>
      <xdr:rowOff>0</xdr:rowOff>
    </xdr:to>
    <xdr:sp macro="" textlink="">
      <xdr:nvSpPr>
        <xdr:cNvPr id="6" name="Rectangle 5">
          <a:extLst>
            <a:ext uri="{FF2B5EF4-FFF2-40B4-BE49-F238E27FC236}">
              <a16:creationId xmlns:a16="http://schemas.microsoft.com/office/drawing/2014/main" id="{1D438171-AF11-37E0-110A-C3924B4BB490}"/>
            </a:ext>
          </a:extLst>
        </xdr:cNvPr>
        <xdr:cNvSpPr/>
      </xdr:nvSpPr>
      <xdr:spPr>
        <a:xfrm>
          <a:off x="26670" y="11430"/>
          <a:ext cx="9136380" cy="89344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19</xdr:col>
      <xdr:colOff>590550</xdr:colOff>
      <xdr:row>22</xdr:row>
      <xdr:rowOff>9525</xdr:rowOff>
    </xdr:from>
    <xdr:to>
      <xdr:col>23</xdr:col>
      <xdr:colOff>1</xdr:colOff>
      <xdr:row>32</xdr:row>
      <xdr:rowOff>169545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4BFAD1E-FD9B-4122-8001-49B04D8C47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56986" y="3848261"/>
              <a:ext cx="1828049" cy="190593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xdr:colOff>
      <xdr:row>7</xdr:row>
      <xdr:rowOff>121920</xdr:rowOff>
    </xdr:from>
    <xdr:to>
      <xdr:col>23</xdr:col>
      <xdr:colOff>15241</xdr:colOff>
      <xdr:row>22</xdr:row>
      <xdr:rowOff>1905</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ABA16C86-16B6-4409-B3B5-7AC4823DD61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075849" y="1344635"/>
              <a:ext cx="1828236" cy="24941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590550</xdr:colOff>
      <xdr:row>0</xdr:row>
      <xdr:rowOff>0</xdr:rowOff>
    </xdr:from>
    <xdr:to>
      <xdr:col>25</xdr:col>
      <xdr:colOff>323850</xdr:colOff>
      <xdr:row>7</xdr:row>
      <xdr:rowOff>93345</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C32E0353-4553-4E5B-BD0E-37EE08CA7D1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056986" y="0"/>
              <a:ext cx="3355484" cy="1317965"/>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oneCellAnchor>
    <xdr:from>
      <xdr:col>1</xdr:col>
      <xdr:colOff>358140</xdr:colOff>
      <xdr:row>0</xdr:row>
      <xdr:rowOff>167640</xdr:rowOff>
    </xdr:from>
    <xdr:ext cx="7071360" cy="530658"/>
    <xdr:sp macro="" textlink="">
      <xdr:nvSpPr>
        <xdr:cNvPr id="5" name="TextBox 4">
          <a:extLst>
            <a:ext uri="{FF2B5EF4-FFF2-40B4-BE49-F238E27FC236}">
              <a16:creationId xmlns:a16="http://schemas.microsoft.com/office/drawing/2014/main" id="{2C764620-57A7-20BB-11DF-5AC6047F5D47}"/>
            </a:ext>
          </a:extLst>
        </xdr:cNvPr>
        <xdr:cNvSpPr txBox="1"/>
      </xdr:nvSpPr>
      <xdr:spPr>
        <a:xfrm>
          <a:off x="958215" y="167640"/>
          <a:ext cx="7071360" cy="530658"/>
        </a:xfrm>
        <a:prstGeom prst="rect">
          <a:avLst/>
        </a:prstGeom>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t">
          <a:spAutoFit/>
        </a:bodyPr>
        <a:lstStyle/>
        <a:p>
          <a:pPr algn="ctr"/>
          <a:r>
            <a:rPr lang="en-CA" sz="2800" b="1"/>
            <a:t>Sales Dashboard -2024</a:t>
          </a:r>
        </a:p>
      </xdr:txBody>
    </xdr:sp>
    <xdr:clientData/>
  </xdr:oneCellAnchor>
  <xdr:twoCellAnchor>
    <xdr:from>
      <xdr:col>0</xdr:col>
      <xdr:colOff>15240</xdr:colOff>
      <xdr:row>5</xdr:row>
      <xdr:rowOff>15240</xdr:rowOff>
    </xdr:from>
    <xdr:to>
      <xdr:col>7</xdr:col>
      <xdr:colOff>390525</xdr:colOff>
      <xdr:row>20</xdr:row>
      <xdr:rowOff>59055</xdr:rowOff>
    </xdr:to>
    <xdr:graphicFrame macro="">
      <xdr:nvGraphicFramePr>
        <xdr:cNvPr id="7" name="Chart 6">
          <a:extLst>
            <a:ext uri="{FF2B5EF4-FFF2-40B4-BE49-F238E27FC236}">
              <a16:creationId xmlns:a16="http://schemas.microsoft.com/office/drawing/2014/main" id="{99700E1D-9D1E-4F42-A747-EA4299AA6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392430</xdr:colOff>
      <xdr:row>5</xdr:row>
      <xdr:rowOff>15240</xdr:rowOff>
    </xdr:from>
    <xdr:to>
      <xdr:col>15</xdr:col>
      <xdr:colOff>161925</xdr:colOff>
      <xdr:row>20</xdr:row>
      <xdr:rowOff>62865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60AEAB5-91AA-490A-B52C-2D19A9EDCF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30090" y="923925"/>
              <a:ext cx="4491990" cy="275463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19050</xdr:colOff>
      <xdr:row>20</xdr:row>
      <xdr:rowOff>64770</xdr:rowOff>
    </xdr:from>
    <xdr:to>
      <xdr:col>7</xdr:col>
      <xdr:colOff>390525</xdr:colOff>
      <xdr:row>35</xdr:row>
      <xdr:rowOff>100965</xdr:rowOff>
    </xdr:to>
    <xdr:graphicFrame macro="">
      <xdr:nvGraphicFramePr>
        <xdr:cNvPr id="9" name="Chart 8">
          <a:extLst>
            <a:ext uri="{FF2B5EF4-FFF2-40B4-BE49-F238E27FC236}">
              <a16:creationId xmlns:a16="http://schemas.microsoft.com/office/drawing/2014/main" id="{BF625F8C-680D-4B43-B7AC-AFDF8D874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396240</xdr:colOff>
      <xdr:row>20</xdr:row>
      <xdr:rowOff>59055</xdr:rowOff>
    </xdr:from>
    <xdr:to>
      <xdr:col>15</xdr:col>
      <xdr:colOff>154305</xdr:colOff>
      <xdr:row>35</xdr:row>
      <xdr:rowOff>102870</xdr:rowOff>
    </xdr:to>
    <xdr:graphicFrame macro="">
      <xdr:nvGraphicFramePr>
        <xdr:cNvPr id="10" name="Chart 9">
          <a:extLst>
            <a:ext uri="{FF2B5EF4-FFF2-40B4-BE49-F238E27FC236}">
              <a16:creationId xmlns:a16="http://schemas.microsoft.com/office/drawing/2014/main" id="{6C5CD855-B001-4EF1-842A-E2E00FD28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35</xdr:row>
      <xdr:rowOff>100965</xdr:rowOff>
    </xdr:from>
    <xdr:to>
      <xdr:col>7</xdr:col>
      <xdr:colOff>379095</xdr:colOff>
      <xdr:row>50</xdr:row>
      <xdr:rowOff>150495</xdr:rowOff>
    </xdr:to>
    <xdr:graphicFrame macro="">
      <xdr:nvGraphicFramePr>
        <xdr:cNvPr id="11" name="Chart 10">
          <a:extLst>
            <a:ext uri="{FF2B5EF4-FFF2-40B4-BE49-F238E27FC236}">
              <a16:creationId xmlns:a16="http://schemas.microsoft.com/office/drawing/2014/main" id="{67E2FBB9-1C37-4D3C-9EDE-110A7F202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379095</xdr:colOff>
      <xdr:row>35</xdr:row>
      <xdr:rowOff>114300</xdr:rowOff>
    </xdr:from>
    <xdr:to>
      <xdr:col>15</xdr:col>
      <xdr:colOff>135255</xdr:colOff>
      <xdr:row>50</xdr:row>
      <xdr:rowOff>152400</xdr:rowOff>
    </xdr:to>
    <xdr:graphicFrame macro="">
      <xdr:nvGraphicFramePr>
        <xdr:cNvPr id="12" name="Chart 11">
          <a:extLst>
            <a:ext uri="{FF2B5EF4-FFF2-40B4-BE49-F238E27FC236}">
              <a16:creationId xmlns:a16="http://schemas.microsoft.com/office/drawing/2014/main" id="{A075A111-324D-4879-9464-795B0A974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351472</xdr:colOff>
      <xdr:row>2</xdr:row>
      <xdr:rowOff>20002</xdr:rowOff>
    </xdr:from>
    <xdr:to>
      <xdr:col>13</xdr:col>
      <xdr:colOff>46672</xdr:colOff>
      <xdr:row>17</xdr:row>
      <xdr:rowOff>56197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D66AF5C-B077-DDB4-D805-721C1956B9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01377" y="378142"/>
              <a:ext cx="4572000" cy="275844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381952</xdr:colOff>
      <xdr:row>2</xdr:row>
      <xdr:rowOff>29527</xdr:rowOff>
    </xdr:from>
    <xdr:to>
      <xdr:col>10</xdr:col>
      <xdr:colOff>77152</xdr:colOff>
      <xdr:row>17</xdr:row>
      <xdr:rowOff>65722</xdr:rowOff>
    </xdr:to>
    <xdr:graphicFrame macro="">
      <xdr:nvGraphicFramePr>
        <xdr:cNvPr id="2" name="Chart 1">
          <a:extLst>
            <a:ext uri="{FF2B5EF4-FFF2-40B4-BE49-F238E27FC236}">
              <a16:creationId xmlns:a16="http://schemas.microsoft.com/office/drawing/2014/main" id="{283B3B1F-4F1D-0685-9B33-90ACA7FF6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458152</xdr:colOff>
      <xdr:row>1</xdr:row>
      <xdr:rowOff>105727</xdr:rowOff>
    </xdr:from>
    <xdr:to>
      <xdr:col>10</xdr:col>
      <xdr:colOff>153352</xdr:colOff>
      <xdr:row>16</xdr:row>
      <xdr:rowOff>141922</xdr:rowOff>
    </xdr:to>
    <xdr:graphicFrame macro="">
      <xdr:nvGraphicFramePr>
        <xdr:cNvPr id="2" name="Chart 1">
          <a:extLst>
            <a:ext uri="{FF2B5EF4-FFF2-40B4-BE49-F238E27FC236}">
              <a16:creationId xmlns:a16="http://schemas.microsoft.com/office/drawing/2014/main" id="{30594B11-0CD6-78F3-4880-24A31BDCC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381952</xdr:colOff>
      <xdr:row>2</xdr:row>
      <xdr:rowOff>952</xdr:rowOff>
    </xdr:from>
    <xdr:to>
      <xdr:col>10</xdr:col>
      <xdr:colOff>77152</xdr:colOff>
      <xdr:row>17</xdr:row>
      <xdr:rowOff>37147</xdr:rowOff>
    </xdr:to>
    <xdr:graphicFrame macro="">
      <xdr:nvGraphicFramePr>
        <xdr:cNvPr id="2" name="Chart 1">
          <a:extLst>
            <a:ext uri="{FF2B5EF4-FFF2-40B4-BE49-F238E27FC236}">
              <a16:creationId xmlns:a16="http://schemas.microsoft.com/office/drawing/2014/main" id="{BFAFEAB6-428E-8A24-8D9C-4941B08C6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498157</xdr:colOff>
      <xdr:row>1</xdr:row>
      <xdr:rowOff>162877</xdr:rowOff>
    </xdr:from>
    <xdr:to>
      <xdr:col>11</xdr:col>
      <xdr:colOff>193357</xdr:colOff>
      <xdr:row>17</xdr:row>
      <xdr:rowOff>18097</xdr:rowOff>
    </xdr:to>
    <xdr:graphicFrame macro="">
      <xdr:nvGraphicFramePr>
        <xdr:cNvPr id="2" name="Chart 1">
          <a:extLst>
            <a:ext uri="{FF2B5EF4-FFF2-40B4-BE49-F238E27FC236}">
              <a16:creationId xmlns:a16="http://schemas.microsoft.com/office/drawing/2014/main" id="{59E84F8E-5599-3721-18D2-213ECB2B2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e King" refreshedDate="46084.685792013886" createdVersion="8" refreshedVersion="8" minRefreshableVersion="3" recordCount="29" xr:uid="{1B61655D-F21D-4AC1-BFBD-302A84BDCEA4}">
  <cacheSource type="worksheet">
    <worksheetSource name="Table1"/>
  </cacheSource>
  <cacheFields count="16">
    <cacheField name="Order_ID" numFmtId="0">
      <sharedItems containsSemiMixedTypes="0" containsString="0" containsNumber="1" containsInteger="1" minValue="1001" maxValue="1030"/>
    </cacheField>
    <cacheField name="Date" numFmtId="14">
      <sharedItems containsSemiMixedTypes="0" containsNonDate="0" containsDate="1" containsString="0" minDate="2024-01-05T00:00:00" maxDate="2024-07-03T00:00:00" count="29">
        <d v="2024-01-05T00:00:00"/>
        <d v="2024-01-08T00:00:00"/>
        <d v="2024-01-12T00:00:00"/>
        <d v="2024-01-15T00:00:00"/>
        <d v="2024-01-20T00:00:00"/>
        <d v="2024-01-25T00:00:00"/>
        <d v="2024-02-02T00:00:00"/>
        <d v="2024-02-05T00:00:00"/>
        <d v="2024-07-02T00:00:00"/>
        <d v="2024-02-10T00:00:00"/>
        <d v="2024-02-13T00:00:00"/>
        <d v="2024-02-15T00:00:00"/>
        <d v="2024-02-17T00:00:00"/>
        <d v="2024-02-20T00:00:00"/>
        <d v="2024-02-22T00:00:00"/>
        <d v="2024-02-24T00:00:00"/>
        <d v="2024-02-25T00:00:00"/>
        <d v="2024-02-27T00:00:00"/>
        <d v="2024-02-28T00:00:00"/>
        <d v="2024-03-03T00:00:00"/>
        <d v="2024-03-04T00:00:00"/>
        <d v="2024-03-05T00:00:00"/>
        <d v="2024-03-06T00:00:00"/>
        <d v="2024-03-08T00:00:00"/>
        <d v="2024-03-10T00:00:00"/>
        <d v="2024-03-12T00:00:00"/>
        <d v="2024-03-14T00:00:00"/>
        <d v="2024-03-16T00:00:00"/>
        <d v="2024-03-18T00:00:00"/>
      </sharedItems>
      <fieldGroup par="15"/>
    </cacheField>
    <cacheField name="Region" numFmtId="0">
      <sharedItems count="4">
        <s v="East"/>
        <s v="West"/>
        <s v="North"/>
        <s v="South"/>
      </sharedItems>
    </cacheField>
    <cacheField name="Salesperson" numFmtId="0">
      <sharedItems count="4">
        <s v="Alice"/>
        <s v="Bob"/>
        <s v="David"/>
        <s v="Carol"/>
      </sharedItems>
    </cacheField>
    <cacheField name="Product_Category" numFmtId="0">
      <sharedItems count="3">
        <s v="Electronics"/>
        <s v="Furniture"/>
        <s v="Stationery"/>
      </sharedItems>
    </cacheField>
    <cacheField name="Sales_Category" numFmtId="0">
      <sharedItems/>
    </cacheField>
    <cacheField name="Order_Value" numFmtId="0">
      <sharedItems containsSemiMixedTypes="0" containsString="0" containsNumber="1" containsInteger="1" minValue="400" maxValue="2700"/>
    </cacheField>
    <cacheField name="Units_Sold" numFmtId="0">
      <sharedItems containsSemiMixedTypes="0" containsString="0" containsNumber="1" containsInteger="1" minValue="2" maxValue="10"/>
    </cacheField>
    <cacheField name="Profit" numFmtId="0">
      <sharedItems containsSemiMixedTypes="0" containsString="0" containsNumber="1" containsInteger="1" minValue="60" maxValue="393"/>
    </cacheField>
    <cacheField name="Category_Margin" numFmtId="164">
      <sharedItems containsSemiMixedTypes="0" containsString="0" containsNumber="1" minValue="0.13013945335582763" maxValue="0.15334110787172012"/>
    </cacheField>
    <cacheField name="Profit_Margin" numFmtId="164">
      <sharedItems containsSemiMixedTypes="0" containsString="0" containsNumber="1" minValue="0.05" maxValue="0.2"/>
    </cacheField>
    <cacheField name="Payment_Mode" numFmtId="0">
      <sharedItems count="3">
        <s v="Credit Card"/>
        <s v="Cash"/>
        <s v="Debit Card"/>
      </sharedItems>
    </cacheField>
    <cacheField name="Auto Value" numFmtId="0">
      <sharedItems containsSemiMixedTypes="0" containsString="0" containsNumber="1" minValue="40" maxValue="600"/>
    </cacheField>
    <cacheField name="Cost_Per_Unit" numFmtId="0">
      <sharedItems containsSemiMixedTypes="0" containsString="0" containsNumber="1" minValue="32" maxValue="522"/>
    </cacheField>
    <cacheField name="Months (Date)" numFmtId="0" databaseField="0">
      <fieldGroup base="1">
        <rangePr groupBy="months" startDate="2024-01-05T00:00:00" endDate="2024-07-03T00:00:00"/>
        <groupItems count="14">
          <s v="&lt;1/5/2024"/>
          <s v="Jan"/>
          <s v="Feb"/>
          <s v="Mar"/>
          <s v="Apr"/>
          <s v="May"/>
          <s v="Jun"/>
          <s v="Jul"/>
          <s v="Aug"/>
          <s v="Sep"/>
          <s v="Oct"/>
          <s v="Nov"/>
          <s v="Dec"/>
          <s v="&gt;7/3/2024"/>
        </groupItems>
      </fieldGroup>
    </cacheField>
    <cacheField name="Years (Date)" numFmtId="0" databaseField="0">
      <fieldGroup base="1">
        <rangePr groupBy="years" startDate="2024-01-05T00:00:00" endDate="2024-07-03T00:00:00"/>
        <groupItems count="3">
          <s v="&lt;1/5/2024"/>
          <s v="2024"/>
          <s v="&gt;7/3/2024"/>
        </groupItems>
      </fieldGroup>
    </cacheField>
  </cacheFields>
  <extLst>
    <ext xmlns:x14="http://schemas.microsoft.com/office/spreadsheetml/2009/9/main" uri="{725AE2AE-9491-48be-B2B4-4EB974FC3084}">
      <x14:pivotCacheDefinition pivotCacheId="286872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1001"/>
    <x v="0"/>
    <x v="0"/>
    <x v="0"/>
    <x v="0"/>
    <s v="Medium"/>
    <n v="1200"/>
    <n v="5"/>
    <n v="200"/>
    <n v="0.14715519695153562"/>
    <n v="0.16666666666666666"/>
    <x v="0"/>
    <n v="240"/>
    <n v="200"/>
  </r>
  <r>
    <n v="1002"/>
    <x v="1"/>
    <x v="1"/>
    <x v="1"/>
    <x v="1"/>
    <s v="Low"/>
    <n v="800"/>
    <n v="3"/>
    <n v="120"/>
    <n v="0.13013945335582763"/>
    <n v="0.15"/>
    <x v="1"/>
    <n v="266.66666666666669"/>
    <n v="226.66666666666666"/>
  </r>
  <r>
    <n v="1003"/>
    <x v="2"/>
    <x v="2"/>
    <x v="0"/>
    <x v="2"/>
    <s v="Low"/>
    <n v="400"/>
    <n v="10"/>
    <n v="80"/>
    <n v="0.15334110787172012"/>
    <n v="0.2"/>
    <x v="2"/>
    <n v="40"/>
    <n v="32"/>
  </r>
  <r>
    <n v="1004"/>
    <x v="3"/>
    <x v="3"/>
    <x v="2"/>
    <x v="0"/>
    <s v="High"/>
    <n v="2500"/>
    <n v="8"/>
    <n v="350"/>
    <n v="0.14715519695153562"/>
    <n v="0.14000000000000001"/>
    <x v="0"/>
    <n v="312.5"/>
    <n v="268.75"/>
  </r>
  <r>
    <n v="1005"/>
    <x v="4"/>
    <x v="0"/>
    <x v="3"/>
    <x v="1"/>
    <s v="Medium"/>
    <n v="1100"/>
    <n v="2"/>
    <n v="160"/>
    <n v="0.13013945335582763"/>
    <n v="0.14545454545454545"/>
    <x v="1"/>
    <n v="550"/>
    <n v="470"/>
  </r>
  <r>
    <n v="1006"/>
    <x v="5"/>
    <x v="2"/>
    <x v="0"/>
    <x v="2"/>
    <s v="Medium"/>
    <n v="1200"/>
    <n v="5"/>
    <n v="60"/>
    <n v="0.15334110787172012"/>
    <n v="0.05"/>
    <x v="2"/>
    <n v="240"/>
    <n v="228"/>
  </r>
  <r>
    <n v="1008"/>
    <x v="6"/>
    <x v="3"/>
    <x v="2"/>
    <x v="0"/>
    <s v="High"/>
    <n v="2300"/>
    <n v="7"/>
    <n v="300"/>
    <n v="0.14715519695153562"/>
    <n v="0.13043478260869565"/>
    <x v="0"/>
    <n v="328.57142857142856"/>
    <n v="285.71428571428572"/>
  </r>
  <r>
    <n v="1009"/>
    <x v="7"/>
    <x v="0"/>
    <x v="3"/>
    <x v="1"/>
    <s v="Low"/>
    <n v="900"/>
    <n v="2"/>
    <n v="120"/>
    <n v="0.13013945335582763"/>
    <n v="0.13333333333333333"/>
    <x v="1"/>
    <n v="450"/>
    <n v="390"/>
  </r>
  <r>
    <n v="1010"/>
    <x v="8"/>
    <x v="1"/>
    <x v="1"/>
    <x v="1"/>
    <s v="Medium"/>
    <n v="1200"/>
    <n v="4"/>
    <n v="100"/>
    <n v="0.13013945335582763"/>
    <n v="8.3333333333333329E-2"/>
    <x v="2"/>
    <n v="300"/>
    <n v="275"/>
  </r>
  <r>
    <n v="1011"/>
    <x v="9"/>
    <x v="2"/>
    <x v="0"/>
    <x v="2"/>
    <s v="Low"/>
    <n v="450"/>
    <n v="8"/>
    <n v="75"/>
    <n v="0.15334110787172012"/>
    <n v="0.16666666666666666"/>
    <x v="1"/>
    <n v="56.25"/>
    <n v="46.875"/>
  </r>
  <r>
    <n v="1012"/>
    <x v="10"/>
    <x v="3"/>
    <x v="2"/>
    <x v="0"/>
    <s v="High"/>
    <n v="2700"/>
    <n v="9"/>
    <n v="393"/>
    <n v="0.14715519695153562"/>
    <n v="0.14555555555555555"/>
    <x v="0"/>
    <n v="300"/>
    <n v="256.33333333333331"/>
  </r>
  <r>
    <n v="1013"/>
    <x v="11"/>
    <x v="0"/>
    <x v="0"/>
    <x v="0"/>
    <s v="Medium"/>
    <n v="1900"/>
    <n v="6"/>
    <n v="250"/>
    <n v="0.14715519695153562"/>
    <n v="0.13157894736842105"/>
    <x v="0"/>
    <n v="316.66666666666669"/>
    <n v="275"/>
  </r>
  <r>
    <n v="1014"/>
    <x v="12"/>
    <x v="1"/>
    <x v="1"/>
    <x v="1"/>
    <s v="Medium"/>
    <n v="1050"/>
    <n v="3"/>
    <n v="140"/>
    <n v="0.13013945335582763"/>
    <n v="0.13333333333333333"/>
    <x v="1"/>
    <n v="350"/>
    <n v="303.33333333333331"/>
  </r>
  <r>
    <n v="1015"/>
    <x v="13"/>
    <x v="1"/>
    <x v="3"/>
    <x v="1"/>
    <s v="Low"/>
    <n v="800"/>
    <n v="2"/>
    <n v="104"/>
    <n v="0.13013945335582763"/>
    <n v="0.13"/>
    <x v="1"/>
    <n v="400"/>
    <n v="348"/>
  </r>
  <r>
    <n v="1016"/>
    <x v="14"/>
    <x v="2"/>
    <x v="0"/>
    <x v="2"/>
    <s v="Low"/>
    <n v="500"/>
    <n v="10"/>
    <n v="77"/>
    <n v="0.15334110787172012"/>
    <n v="0.154"/>
    <x v="2"/>
    <n v="50"/>
    <n v="42.3"/>
  </r>
  <r>
    <n v="1017"/>
    <x v="15"/>
    <x v="3"/>
    <x v="2"/>
    <x v="0"/>
    <s v="High"/>
    <n v="2200"/>
    <n v="7"/>
    <n v="310"/>
    <n v="0.14715519695153562"/>
    <n v="0.1409090909090909"/>
    <x v="0"/>
    <n v="314.28571428571428"/>
    <n v="270"/>
  </r>
  <r>
    <n v="1018"/>
    <x v="16"/>
    <x v="0"/>
    <x v="0"/>
    <x v="0"/>
    <s v="Medium"/>
    <n v="1200"/>
    <n v="5"/>
    <n v="220"/>
    <n v="0.14715519695153562"/>
    <n v="0.18333333333333332"/>
    <x v="0"/>
    <n v="240"/>
    <n v="196"/>
  </r>
  <r>
    <n v="1019"/>
    <x v="17"/>
    <x v="0"/>
    <x v="3"/>
    <x v="1"/>
    <s v="Low"/>
    <n v="950"/>
    <n v="3"/>
    <n v="124"/>
    <n v="0.13013945335582763"/>
    <n v="0.13052631578947368"/>
    <x v="1"/>
    <n v="316.66666666666669"/>
    <n v="275.33333333333331"/>
  </r>
  <r>
    <n v="1020"/>
    <x v="18"/>
    <x v="1"/>
    <x v="1"/>
    <x v="1"/>
    <s v="Low"/>
    <n v="780"/>
    <n v="4"/>
    <n v="95"/>
    <n v="0.13013945335582763"/>
    <n v="0.12179487179487179"/>
    <x v="2"/>
    <n v="195"/>
    <n v="171.25"/>
  </r>
  <r>
    <n v="1021"/>
    <x v="19"/>
    <x v="2"/>
    <x v="0"/>
    <x v="2"/>
    <s v="Low"/>
    <n v="480"/>
    <n v="8"/>
    <n v="80"/>
    <n v="0.15334110787172012"/>
    <n v="0.16666666666666666"/>
    <x v="2"/>
    <n v="60"/>
    <n v="50"/>
  </r>
  <r>
    <n v="1022"/>
    <x v="20"/>
    <x v="3"/>
    <x v="2"/>
    <x v="0"/>
    <s v="High"/>
    <n v="2100"/>
    <n v="6"/>
    <n v="310"/>
    <n v="0.14715519695153562"/>
    <n v="0.14761904761904762"/>
    <x v="0"/>
    <n v="350"/>
    <n v="298.33333333333331"/>
  </r>
  <r>
    <n v="1023"/>
    <x v="21"/>
    <x v="0"/>
    <x v="3"/>
    <x v="1"/>
    <s v="Medium"/>
    <n v="1050"/>
    <n v="3"/>
    <n v="145"/>
    <n v="0.13013945335582763"/>
    <n v="0.1380952380952381"/>
    <x v="1"/>
    <n v="350"/>
    <n v="301.66666666666669"/>
  </r>
  <r>
    <n v="1024"/>
    <x v="22"/>
    <x v="2"/>
    <x v="0"/>
    <x v="2"/>
    <s v="Low"/>
    <n v="420"/>
    <n v="9"/>
    <n v="64"/>
    <n v="0.15334110787172012"/>
    <n v="0.15238095238095239"/>
    <x v="2"/>
    <n v="46.666666666666664"/>
    <n v="39.555555555555557"/>
  </r>
  <r>
    <n v="1025"/>
    <x v="23"/>
    <x v="3"/>
    <x v="2"/>
    <x v="0"/>
    <s v="High"/>
    <n v="2500"/>
    <n v="8"/>
    <n v="350"/>
    <n v="0.14715519695153562"/>
    <n v="0.14000000000000001"/>
    <x v="0"/>
    <n v="312.5"/>
    <n v="268.75"/>
  </r>
  <r>
    <n v="1026"/>
    <x v="24"/>
    <x v="0"/>
    <x v="3"/>
    <x v="1"/>
    <s v="Medium"/>
    <n v="1200"/>
    <n v="3"/>
    <n v="156"/>
    <n v="0.13013945335582763"/>
    <n v="0.13"/>
    <x v="1"/>
    <n v="400"/>
    <n v="348"/>
  </r>
  <r>
    <n v="1027"/>
    <x v="25"/>
    <x v="1"/>
    <x v="1"/>
    <x v="1"/>
    <s v="Low"/>
    <n v="810"/>
    <n v="2"/>
    <n v="110"/>
    <n v="0.13013945335582763"/>
    <n v="0.13580246913580246"/>
    <x v="1"/>
    <n v="405"/>
    <n v="350"/>
  </r>
  <r>
    <n v="1028"/>
    <x v="26"/>
    <x v="2"/>
    <x v="0"/>
    <x v="2"/>
    <s v="Low"/>
    <n v="490"/>
    <n v="8"/>
    <n v="90"/>
    <n v="0.15334110787172012"/>
    <n v="0.18367346938775511"/>
    <x v="2"/>
    <n v="61.25"/>
    <n v="50"/>
  </r>
  <r>
    <n v="1029"/>
    <x v="27"/>
    <x v="3"/>
    <x v="2"/>
    <x v="0"/>
    <s v="High"/>
    <n v="2200"/>
    <n v="7"/>
    <n v="320"/>
    <n v="0.14715519695153562"/>
    <n v="0.14545454545454545"/>
    <x v="0"/>
    <n v="314.28571428571428"/>
    <n v="268.57142857142856"/>
  </r>
  <r>
    <n v="1030"/>
    <x v="28"/>
    <x v="0"/>
    <x v="3"/>
    <x v="1"/>
    <s v="Medium"/>
    <n v="1200"/>
    <n v="2"/>
    <n v="156"/>
    <n v="0.13013945335582763"/>
    <n v="0.13"/>
    <x v="1"/>
    <n v="600"/>
    <n v="5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AB506-6698-47E6-851D-6BD0FE3BD8FA}" name="PivotTable2"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6">
    <pivotField showAll="0"/>
    <pivotField numFmtId="14" showAll="0">
      <items count="30">
        <item x="0"/>
        <item x="1"/>
        <item x="2"/>
        <item x="3"/>
        <item x="4"/>
        <item x="5"/>
        <item x="6"/>
        <item x="7"/>
        <item x="9"/>
        <item x="10"/>
        <item x="11"/>
        <item x="12"/>
        <item x="13"/>
        <item x="14"/>
        <item x="15"/>
        <item x="16"/>
        <item x="17"/>
        <item x="18"/>
        <item x="19"/>
        <item x="20"/>
        <item x="21"/>
        <item x="22"/>
        <item x="23"/>
        <item x="24"/>
        <item x="25"/>
        <item x="26"/>
        <item x="27"/>
        <item x="28"/>
        <item x="8"/>
        <item t="default"/>
      </items>
    </pivotField>
    <pivotField axis="axisRow" showAll="0">
      <items count="5">
        <item x="0"/>
        <item x="2"/>
        <item x="3"/>
        <item x="1"/>
        <item t="default"/>
      </items>
    </pivotField>
    <pivotField showAll="0">
      <items count="5">
        <item x="0"/>
        <item x="1"/>
        <item x="3"/>
        <item x="2"/>
        <item t="default"/>
      </items>
    </pivotField>
    <pivotField showAll="0"/>
    <pivotField showAll="0"/>
    <pivotField dataField="1" showAll="0"/>
    <pivotField showAll="0"/>
    <pivotField showAll="0"/>
    <pivotField numFmtId="164"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Sum of Order_Value" fld="6" baseField="0" baseItem="0"/>
  </dataFields>
  <formats count="4">
    <format dxfId="10">
      <pivotArea collapsedLevelsAreSubtotals="1" fieldPosition="0">
        <references count="1">
          <reference field="2" count="1">
            <x v="0"/>
          </reference>
        </references>
      </pivotArea>
    </format>
    <format dxfId="9">
      <pivotArea collapsedLevelsAreSubtotals="1" fieldPosition="0">
        <references count="1">
          <reference field="2" count="1">
            <x v="1"/>
          </reference>
        </references>
      </pivotArea>
    </format>
    <format dxfId="8">
      <pivotArea collapsedLevelsAreSubtotals="1" fieldPosition="0">
        <references count="1">
          <reference field="2" count="2">
            <x v="2"/>
            <x v="3"/>
          </reference>
        </references>
      </pivotArea>
    </format>
    <format dxfId="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4A8B2-C0DA-4BDA-9FE7-895EDF920CE0}" name="PivotTable3"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8" firstHeaderRow="1" firstDataRow="1" firstDataCol="1"/>
  <pivotFields count="16">
    <pivotField showAll="0"/>
    <pivotField numFmtId="14" showAll="0">
      <items count="30">
        <item x="0"/>
        <item x="1"/>
        <item x="2"/>
        <item x="3"/>
        <item x="4"/>
        <item x="5"/>
        <item x="6"/>
        <item x="7"/>
        <item x="9"/>
        <item x="10"/>
        <item x="11"/>
        <item x="12"/>
        <item x="13"/>
        <item x="14"/>
        <item x="15"/>
        <item x="16"/>
        <item x="17"/>
        <item x="18"/>
        <item x="19"/>
        <item x="20"/>
        <item x="21"/>
        <item x="22"/>
        <item x="23"/>
        <item x="24"/>
        <item x="25"/>
        <item x="26"/>
        <item x="27"/>
        <item x="28"/>
        <item x="8"/>
        <item t="default"/>
      </items>
    </pivotField>
    <pivotField showAll="0">
      <items count="5">
        <item x="0"/>
        <item x="2"/>
        <item x="3"/>
        <item x="1"/>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64"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v="3"/>
    </i>
    <i>
      <x/>
    </i>
    <i>
      <x v="2"/>
    </i>
    <i>
      <x v="1"/>
    </i>
    <i t="grand">
      <x/>
    </i>
  </rowItems>
  <colItems count="1">
    <i/>
  </colItems>
  <dataFields count="1">
    <dataField name="Sum of Order_Value" fld="6" baseField="0" baseItem="0"/>
  </dataFields>
  <formats count="2">
    <format dxfId="6">
      <pivotArea collapsedLevelsAreSubtotals="1" fieldPosition="0">
        <references count="1">
          <reference field="3" count="0"/>
        </references>
      </pivotArea>
    </format>
    <format dxfId="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306F4-F10E-4B50-9438-F1CF400105A5}" name="PivotTable4"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16">
    <pivotField showAll="0"/>
    <pivotField numFmtId="14" showAll="0">
      <items count="30">
        <item x="0"/>
        <item x="1"/>
        <item x="2"/>
        <item x="3"/>
        <item x="4"/>
        <item x="5"/>
        <item x="6"/>
        <item x="7"/>
        <item x="9"/>
        <item x="10"/>
        <item x="11"/>
        <item x="12"/>
        <item x="13"/>
        <item x="14"/>
        <item x="15"/>
        <item x="16"/>
        <item x="17"/>
        <item x="18"/>
        <item x="19"/>
        <item x="20"/>
        <item x="21"/>
        <item x="22"/>
        <item x="23"/>
        <item x="24"/>
        <item x="25"/>
        <item x="26"/>
        <item x="27"/>
        <item x="28"/>
        <item x="8"/>
        <item t="default"/>
      </items>
    </pivotField>
    <pivotField showAll="0">
      <items count="5">
        <item x="0"/>
        <item x="2"/>
        <item x="3"/>
        <item x="1"/>
        <item t="default"/>
      </items>
    </pivotField>
    <pivotField showAll="0">
      <items count="5">
        <item x="0"/>
        <item x="1"/>
        <item x="3"/>
        <item x="2"/>
        <item t="default"/>
      </items>
    </pivotField>
    <pivotField axis="axisRow" showAll="0">
      <items count="4">
        <item x="0"/>
        <item x="1"/>
        <item x="2"/>
        <item t="default"/>
      </items>
    </pivotField>
    <pivotField showAll="0"/>
    <pivotField showAll="0"/>
    <pivotField showAll="0"/>
    <pivotField dataField="1" showAll="0"/>
    <pivotField numFmtId="164" showAll="0"/>
    <pivotField numFmtId="16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4">
    <i>
      <x/>
    </i>
    <i>
      <x v="1"/>
    </i>
    <i>
      <x v="2"/>
    </i>
    <i t="grand">
      <x/>
    </i>
  </rowItems>
  <colItems count="1">
    <i/>
  </colItems>
  <dataFields count="1">
    <dataField name="Sum of Profit" fld="8"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0F9C0D-3D78-431C-82DD-ACFE5A773852}" name="PivotTable5"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6">
    <pivotField showAll="0"/>
    <pivotField numFmtId="14" showAll="0">
      <items count="30">
        <item x="0"/>
        <item x="1"/>
        <item x="2"/>
        <item x="3"/>
        <item x="4"/>
        <item x="5"/>
        <item x="6"/>
        <item x="7"/>
        <item x="9"/>
        <item x="10"/>
        <item x="11"/>
        <item x="12"/>
        <item x="13"/>
        <item x="14"/>
        <item x="15"/>
        <item x="16"/>
        <item x="17"/>
        <item x="18"/>
        <item x="19"/>
        <item x="20"/>
        <item x="21"/>
        <item x="22"/>
        <item x="23"/>
        <item x="24"/>
        <item x="25"/>
        <item x="26"/>
        <item x="27"/>
        <item x="28"/>
        <item x="8"/>
        <item t="default"/>
      </items>
    </pivotField>
    <pivotField showAll="0">
      <items count="5">
        <item x="0"/>
        <item x="2"/>
        <item x="3"/>
        <item x="1"/>
        <item t="default"/>
      </items>
    </pivotField>
    <pivotField showAll="0">
      <items count="5">
        <item x="0"/>
        <item x="1"/>
        <item x="3"/>
        <item x="2"/>
        <item t="default"/>
      </items>
    </pivotField>
    <pivotField showAll="0"/>
    <pivotField showAll="0"/>
    <pivotField dataField="1" showAll="0"/>
    <pivotField showAll="0"/>
    <pivotField showAll="0"/>
    <pivotField numFmtId="164" showAll="0"/>
    <pivotField numFmtId="164"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5"/>
    <field x="14"/>
  </rowFields>
  <rowItems count="6">
    <i>
      <x v="1"/>
    </i>
    <i r="1">
      <x v="1"/>
    </i>
    <i r="1">
      <x v="2"/>
    </i>
    <i r="1">
      <x v="3"/>
    </i>
    <i r="1">
      <x v="7"/>
    </i>
    <i t="grand">
      <x/>
    </i>
  </rowItems>
  <colItems count="1">
    <i/>
  </colItems>
  <dataFields count="1">
    <dataField name="Sum of Order_Valu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8E2E39-8EC4-4C28-B2FF-75C5669822E5}" name="PivotTable6"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C7" firstHeaderRow="0" firstDataRow="1" firstDataCol="1"/>
  <pivotFields count="16">
    <pivotField dataField="1" showAll="0"/>
    <pivotField numFmtId="14" showAll="0">
      <items count="30">
        <item x="0"/>
        <item x="1"/>
        <item x="2"/>
        <item x="3"/>
        <item x="4"/>
        <item x="5"/>
        <item x="6"/>
        <item x="7"/>
        <item x="9"/>
        <item x="10"/>
        <item x="11"/>
        <item x="12"/>
        <item x="13"/>
        <item x="14"/>
        <item x="15"/>
        <item x="16"/>
        <item x="17"/>
        <item x="18"/>
        <item x="19"/>
        <item x="20"/>
        <item x="21"/>
        <item x="22"/>
        <item x="23"/>
        <item x="24"/>
        <item x="25"/>
        <item x="26"/>
        <item x="27"/>
        <item x="28"/>
        <item x="8"/>
        <item t="default"/>
      </items>
    </pivotField>
    <pivotField showAll="0">
      <items count="5">
        <item x="0"/>
        <item x="2"/>
        <item x="3"/>
        <item x="1"/>
        <item t="default"/>
      </items>
    </pivotField>
    <pivotField showAll="0">
      <items count="5">
        <item x="0"/>
        <item x="1"/>
        <item x="3"/>
        <item x="2"/>
        <item t="default"/>
      </items>
    </pivotField>
    <pivotField showAll="0"/>
    <pivotField showAll="0"/>
    <pivotField dataField="1" showAll="0"/>
    <pivotField showAll="0"/>
    <pivotField showAll="0"/>
    <pivotField numFmtId="164" showAll="0"/>
    <pivotField numFmtId="164" showAll="0"/>
    <pivotField axis="axisRow" showAll="0">
      <items count="4">
        <item x="1"/>
        <item x="0"/>
        <item x="2"/>
        <item t="default"/>
      </items>
    </pivotField>
    <pivotField showAll="0"/>
    <pivotField showAll="0"/>
    <pivotField showAll="0" defaultSubtotal="0"/>
    <pivotField showAll="0" defaultSubtotal="0">
      <items count="3">
        <item x="0"/>
        <item x="1"/>
        <item x="2"/>
      </items>
    </pivotField>
  </pivotFields>
  <rowFields count="1">
    <field x="11"/>
  </rowFields>
  <rowItems count="4">
    <i>
      <x/>
    </i>
    <i>
      <x v="1"/>
    </i>
    <i>
      <x v="2"/>
    </i>
    <i t="grand">
      <x/>
    </i>
  </rowItems>
  <colFields count="1">
    <field x="-2"/>
  </colFields>
  <colItems count="2">
    <i>
      <x/>
    </i>
    <i i="1">
      <x v="1"/>
    </i>
  </colItems>
  <dataFields count="2">
    <dataField name="Sum of Order_Value" fld="6" baseField="0" baseItem="0"/>
    <dataField name="Count of Order_ID" fld="0" subtotal="count" baseField="11"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1" count="1" selected="0">
            <x v="0"/>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1" count="1" selected="0">
            <x v="0"/>
          </reference>
        </references>
      </pivotArea>
    </chartFormat>
    <chartFormat chart="2" format="16">
      <pivotArea type="data" outline="0" fieldPosition="0">
        <references count="2">
          <reference field="4294967294" count="1" selected="0">
            <x v="1"/>
          </reference>
          <reference field="11" count="1" selected="0">
            <x v="1"/>
          </reference>
        </references>
      </pivotArea>
    </chartFormat>
    <chartFormat chart="2" format="17">
      <pivotArea type="data" outline="0" fieldPosition="0">
        <references count="2">
          <reference field="4294967294" count="1" selected="0">
            <x v="1"/>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0" format="5">
      <pivotArea type="data" outline="0" fieldPosition="0">
        <references count="2">
          <reference field="4294967294" count="1" selected="0">
            <x v="1"/>
          </reference>
          <reference field="11" count="1" selected="0">
            <x v="0"/>
          </reference>
        </references>
      </pivotArea>
    </chartFormat>
    <chartFormat chart="0" format="6">
      <pivotArea type="data" outline="0" fieldPosition="0">
        <references count="2">
          <reference field="4294967294" count="1" selected="0">
            <x v="1"/>
          </reference>
          <reference field="11" count="1" selected="0">
            <x v="1"/>
          </reference>
        </references>
      </pivotArea>
    </chartFormat>
    <chartFormat chart="0" format="7">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533925-EA79-4B76-BF44-BE717D8E843C}" sourceName="Region">
  <pivotTables>
    <pivotTable tabId="3" name="PivotTable2"/>
    <pivotTable tabId="7" name="PivotTable5"/>
    <pivotTable tabId="8" name="PivotTable6"/>
    <pivotTable tabId="6" name="PivotTable4"/>
    <pivotTable tabId="5" name="PivotTable3"/>
  </pivotTables>
  <data>
    <tabular pivotCacheId="28687243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EEF494E-D575-4D9E-965A-3C8FAF97EAEE}" sourceName="Salesperson">
  <pivotTables>
    <pivotTable tabId="5" name="PivotTable3"/>
    <pivotTable tabId="7" name="PivotTable5"/>
    <pivotTable tabId="8" name="PivotTable6"/>
    <pivotTable tabId="6" name="PivotTable4"/>
    <pivotTable tabId="3" name="PivotTable2"/>
  </pivotTables>
  <data>
    <tabular pivotCacheId="28687243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A983CB-44CD-4012-A862-737A628F399A}" cache="Slicer_Region" caption="Region" rowHeight="247650"/>
  <slicer name="Salesperson" xr10:uid="{7437C46D-6F27-44A6-BB25-61086BF1A05C}" cache="Slicer_Salesperson" caption="Sales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9D69F-0919-4460-97EE-7BC91DED714E}" name="Table1" displayName="Table1" ref="A1:N30" totalsRowShown="0">
  <autoFilter ref="A1:N30" xr:uid="{82D9D69F-0919-4460-97EE-7BC91DED714E}"/>
  <tableColumns count="14">
    <tableColumn id="1" xr3:uid="{8C23E66B-301B-4144-BAEF-9E5E24586761}" name="Order_ID"/>
    <tableColumn id="2" xr3:uid="{8DFEC5F4-2B92-4C57-A6B2-FCE620EB9E1C}" name="Date" dataDxfId="3"/>
    <tableColumn id="3" xr3:uid="{2EBBCD7B-1D2F-4ACD-B1CD-59D1DFDAD90B}" name="Region"/>
    <tableColumn id="4" xr3:uid="{73CCC2C7-9032-4E8F-A712-DFE85E91C7BF}" name="Salesperson"/>
    <tableColumn id="5" xr3:uid="{1537FC71-E40F-4492-817E-14D4A600BCD8}" name="Product_Category"/>
    <tableColumn id="6" xr3:uid="{0A02F35E-38E7-4BC2-958F-D13A41D72943}" name="Sales_Category" dataDxfId="2">
      <calculatedColumnFormula>IF(G2&gt;2000,"High",IF(G2&gt;1000,"Medium","Low"))</calculatedColumnFormula>
    </tableColumn>
    <tableColumn id="7" xr3:uid="{8B068685-D78F-4CB3-B7D3-E065AEA241CE}" name="Order_Value"/>
    <tableColumn id="8" xr3:uid="{3677D0FB-BB37-4FAB-AF06-AE833A1EF315}" name="Units_Sold"/>
    <tableColumn id="9" xr3:uid="{A2F9D509-2CD5-4007-A1DF-CA14E413B3AB}" name="Profit"/>
    <tableColumn id="10" xr3:uid="{624D5573-2183-47EB-8A17-ADA1049733F4}" name="Category_Margin" dataDxfId="1" dataCellStyle="Percent">
      <calculatedColumnFormula>_xlfn.XLOOKUP(E2, $P$2:$P$4, $Q$2:$Q$4, "")</calculatedColumnFormula>
    </tableColumn>
    <tableColumn id="11" xr3:uid="{9EEB80DD-5FE3-48A4-9059-FC535ABDF01C}" name="Profit_Margin" dataDxfId="0" dataCellStyle="Percent">
      <calculatedColumnFormula>IF(I2="", "", I2/G2)</calculatedColumnFormula>
    </tableColumn>
    <tableColumn id="12" xr3:uid="{C4AE91AA-BD14-4F5D-A9D7-E5892FFCAA3A}" name="Payment_Mode"/>
    <tableColumn id="13" xr3:uid="{ED88BC13-C56F-4D8A-9383-B63DAAF609DC}" name="Auto Value">
      <calculatedColumnFormula>IFERROR(G2/H2,"")</calculatedColumnFormula>
    </tableColumn>
    <tableColumn id="14" xr3:uid="{E4C50C58-8448-4636-AC01-24BF219646F9}" name="Cost_Per_Unit">
      <calculatedColumnFormula>IF(I2="", "", (G2-I2)/H2)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E7435E4-370F-4929-9F95-9453C9E7B1A7}" sourceName="Date">
  <pivotTables>
    <pivotTable tabId="7" name="PivotTable5"/>
    <pivotTable tabId="8" name="PivotTable6"/>
    <pivotTable tabId="6" name="PivotTable4"/>
    <pivotTable tabId="3" name="PivotTable2"/>
    <pivotTable tabId="5" name="PivotTable3"/>
  </pivotTables>
  <state minimalRefreshVersion="6" lastRefreshVersion="6" pivotCacheId="28687243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D04E7B0-F5F9-4EF8-BFF7-1C2CEDE34A19}" cache="NativeTimeline_Date" caption="Date" level="2" selectionLevel="2" scrollPosition="2024-05-1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D619-609D-4591-BD48-7F513DD3388B}">
  <dimension ref="A3:B8"/>
  <sheetViews>
    <sheetView workbookViewId="0">
      <selection activeCell="B8" sqref="B8"/>
    </sheetView>
  </sheetViews>
  <sheetFormatPr defaultRowHeight="14.4"/>
  <cols>
    <col min="1" max="1" width="13.44140625" bestFit="1" customWidth="1"/>
    <col min="2" max="2" width="19" bestFit="1" customWidth="1"/>
  </cols>
  <sheetData>
    <row r="3" spans="1:2">
      <c r="A3" s="7" t="s">
        <v>39</v>
      </c>
      <c r="B3" t="s">
        <v>43</v>
      </c>
    </row>
    <row r="4" spans="1:2">
      <c r="A4" s="8" t="s">
        <v>9</v>
      </c>
      <c r="B4" s="9">
        <v>10700</v>
      </c>
    </row>
    <row r="5" spans="1:2">
      <c r="A5" s="8" t="s">
        <v>16</v>
      </c>
      <c r="B5" s="9">
        <v>3940</v>
      </c>
    </row>
    <row r="6" spans="1:2">
      <c r="A6" s="8" t="s">
        <v>19</v>
      </c>
      <c r="B6" s="9">
        <v>16500</v>
      </c>
    </row>
    <row r="7" spans="1:2">
      <c r="A7" s="8" t="s">
        <v>13</v>
      </c>
      <c r="B7" s="9">
        <v>5440</v>
      </c>
    </row>
    <row r="8" spans="1:2">
      <c r="A8" s="8" t="s">
        <v>41</v>
      </c>
      <c r="B8" s="9">
        <v>36580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A01D-7A82-44A5-872A-ED465F71D560}">
  <dimension ref="Q7:R10"/>
  <sheetViews>
    <sheetView showGridLines="0" zoomScale="71" zoomScaleNormal="71" workbookViewId="0">
      <selection activeCell="Q19" sqref="Q19"/>
    </sheetView>
  </sheetViews>
  <sheetFormatPr defaultColWidth="8.6640625" defaultRowHeight="14.4"/>
  <cols>
    <col min="17" max="17" width="24.44140625" bestFit="1" customWidth="1"/>
    <col min="18" max="18" width="23.5546875" customWidth="1"/>
  </cols>
  <sheetData>
    <row r="7" spans="17:18">
      <c r="Q7" s="6" t="s">
        <v>56</v>
      </c>
    </row>
    <row r="8" spans="17:18">
      <c r="Q8" s="6" t="s">
        <v>57</v>
      </c>
      <c r="R8" s="11">
        <v>36580</v>
      </c>
    </row>
    <row r="9" spans="17:18">
      <c r="Q9" s="6" t="s">
        <v>58</v>
      </c>
      <c r="R9" s="11">
        <v>1261.3793103448277</v>
      </c>
    </row>
    <row r="10" spans="17:18">
      <c r="Q10" s="6" t="s">
        <v>59</v>
      </c>
      <c r="R10" s="11">
        <v>393</v>
      </c>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3158-D893-4DA0-9D11-F33ABB55BE9D}">
  <dimension ref="A1:D5"/>
  <sheetViews>
    <sheetView workbookViewId="0">
      <selection activeCell="Q6" sqref="Q6"/>
    </sheetView>
  </sheetViews>
  <sheetFormatPr defaultRowHeight="14.4"/>
  <sheetData>
    <row r="1" spans="1:4">
      <c r="A1" t="s">
        <v>2</v>
      </c>
      <c r="B1" t="s">
        <v>37</v>
      </c>
      <c r="C1" t="s">
        <v>48</v>
      </c>
      <c r="D1" t="s">
        <v>50</v>
      </c>
    </row>
    <row r="2" spans="1:4">
      <c r="A2" t="s">
        <v>9</v>
      </c>
      <c r="B2">
        <v>10700</v>
      </c>
      <c r="C2" t="s">
        <v>49</v>
      </c>
      <c r="D2" t="s">
        <v>51</v>
      </c>
    </row>
    <row r="3" spans="1:4">
      <c r="A3" t="s">
        <v>16</v>
      </c>
      <c r="B3">
        <v>3940</v>
      </c>
      <c r="C3" t="s">
        <v>49</v>
      </c>
      <c r="D3" t="s">
        <v>52</v>
      </c>
    </row>
    <row r="4" spans="1:4">
      <c r="A4" t="s">
        <v>19</v>
      </c>
      <c r="B4">
        <v>16500</v>
      </c>
      <c r="C4" t="s">
        <v>49</v>
      </c>
      <c r="D4" t="s">
        <v>53</v>
      </c>
    </row>
    <row r="5" spans="1:4">
      <c r="A5" t="s">
        <v>13</v>
      </c>
      <c r="B5">
        <v>5440</v>
      </c>
      <c r="C5" t="s">
        <v>49</v>
      </c>
      <c r="D5" t="s">
        <v>54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DDF1-7068-4380-9F9F-9A21B2B7A789}">
  <dimension ref="A3:B8"/>
  <sheetViews>
    <sheetView workbookViewId="0">
      <selection activeCell="A5" sqref="A5"/>
    </sheetView>
  </sheetViews>
  <sheetFormatPr defaultRowHeight="14.4"/>
  <cols>
    <col min="1" max="1" width="13.44140625" bestFit="1" customWidth="1"/>
    <col min="2" max="2" width="19" bestFit="1" customWidth="1"/>
  </cols>
  <sheetData>
    <row r="3" spans="1:2">
      <c r="A3" s="7" t="s">
        <v>39</v>
      </c>
      <c r="B3" t="s">
        <v>43</v>
      </c>
    </row>
    <row r="4" spans="1:2">
      <c r="A4" s="8" t="s">
        <v>20</v>
      </c>
      <c r="B4" s="9">
        <v>16500</v>
      </c>
    </row>
    <row r="5" spans="1:2">
      <c r="A5" s="8" t="s">
        <v>10</v>
      </c>
      <c r="B5" s="9">
        <v>8240</v>
      </c>
    </row>
    <row r="6" spans="1:2">
      <c r="A6" s="8" t="s">
        <v>21</v>
      </c>
      <c r="B6" s="9">
        <v>7200</v>
      </c>
    </row>
    <row r="7" spans="1:2">
      <c r="A7" s="8" t="s">
        <v>14</v>
      </c>
      <c r="B7" s="9">
        <v>4640</v>
      </c>
    </row>
    <row r="8" spans="1:2">
      <c r="A8" s="8" t="s">
        <v>41</v>
      </c>
      <c r="B8" s="9">
        <v>36580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AE90-B756-42F8-82EB-692FCF1952AA}">
  <dimension ref="A3:B7"/>
  <sheetViews>
    <sheetView workbookViewId="0">
      <selection activeCell="A6" sqref="A4:A6"/>
    </sheetView>
  </sheetViews>
  <sheetFormatPr defaultRowHeight="14.4"/>
  <cols>
    <col min="1" max="1" width="13.44140625" bestFit="1" customWidth="1"/>
    <col min="2" max="2" width="12.6640625" bestFit="1" customWidth="1"/>
  </cols>
  <sheetData>
    <row r="3" spans="1:2">
      <c r="A3" s="7" t="s">
        <v>39</v>
      </c>
      <c r="B3" t="s">
        <v>40</v>
      </c>
    </row>
    <row r="4" spans="1:2">
      <c r="A4" s="8" t="s">
        <v>11</v>
      </c>
      <c r="B4" s="9">
        <v>3003</v>
      </c>
    </row>
    <row r="5" spans="1:2">
      <c r="A5" s="8" t="s">
        <v>15</v>
      </c>
      <c r="B5" s="9">
        <v>1530</v>
      </c>
    </row>
    <row r="6" spans="1:2">
      <c r="A6" s="8" t="s">
        <v>17</v>
      </c>
      <c r="B6" s="9">
        <v>526</v>
      </c>
    </row>
    <row r="7" spans="1:2">
      <c r="A7" s="8" t="s">
        <v>41</v>
      </c>
      <c r="B7" s="9">
        <v>5059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70B4-85BD-49B4-8871-31FC3E38602C}">
  <dimension ref="A3:B9"/>
  <sheetViews>
    <sheetView workbookViewId="0">
      <selection activeCell="M16" sqref="M16"/>
    </sheetView>
  </sheetViews>
  <sheetFormatPr defaultRowHeight="14.4"/>
  <cols>
    <col min="1" max="1" width="13.44140625" bestFit="1" customWidth="1"/>
    <col min="2" max="2" width="19" bestFit="1" customWidth="1"/>
  </cols>
  <sheetData>
    <row r="3" spans="1:2">
      <c r="A3" s="7" t="s">
        <v>39</v>
      </c>
      <c r="B3" t="s">
        <v>43</v>
      </c>
    </row>
    <row r="4" spans="1:2">
      <c r="A4" s="8" t="s">
        <v>47</v>
      </c>
      <c r="B4">
        <v>36580</v>
      </c>
    </row>
    <row r="5" spans="1:2">
      <c r="A5" s="10" t="s">
        <v>44</v>
      </c>
      <c r="B5">
        <v>7200</v>
      </c>
    </row>
    <row r="6" spans="1:2">
      <c r="A6" s="10" t="s">
        <v>45</v>
      </c>
      <c r="B6">
        <v>15730</v>
      </c>
    </row>
    <row r="7" spans="1:2">
      <c r="A7" s="10" t="s">
        <v>46</v>
      </c>
      <c r="B7">
        <v>12450</v>
      </c>
    </row>
    <row r="8" spans="1:2">
      <c r="A8" s="10" t="s">
        <v>55</v>
      </c>
      <c r="B8">
        <v>1200</v>
      </c>
    </row>
    <row r="9" spans="1:2">
      <c r="A9" s="8" t="s">
        <v>41</v>
      </c>
      <c r="B9">
        <v>36580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5553-8C13-4651-BC11-32B67CE8588C}">
  <dimension ref="A3:C7"/>
  <sheetViews>
    <sheetView workbookViewId="0">
      <selection activeCell="X22" sqref="X22"/>
    </sheetView>
  </sheetViews>
  <sheetFormatPr defaultRowHeight="14.4"/>
  <cols>
    <col min="1" max="1" width="13.44140625" bestFit="1" customWidth="1"/>
    <col min="2" max="2" width="19" bestFit="1" customWidth="1"/>
    <col min="3" max="3" width="17.5546875" bestFit="1" customWidth="1"/>
  </cols>
  <sheetData>
    <row r="3" spans="1:3">
      <c r="A3" s="7" t="s">
        <v>39</v>
      </c>
      <c r="B3" t="s">
        <v>43</v>
      </c>
      <c r="C3" t="s">
        <v>42</v>
      </c>
    </row>
    <row r="4" spans="1:3">
      <c r="A4" s="8" t="s">
        <v>22</v>
      </c>
      <c r="B4">
        <v>10310</v>
      </c>
      <c r="C4">
        <v>11</v>
      </c>
    </row>
    <row r="5" spans="1:3">
      <c r="A5" s="8" t="s">
        <v>12</v>
      </c>
      <c r="B5">
        <v>20800</v>
      </c>
      <c r="C5">
        <v>10</v>
      </c>
    </row>
    <row r="6" spans="1:3">
      <c r="A6" s="8" t="s">
        <v>18</v>
      </c>
      <c r="B6">
        <v>5470</v>
      </c>
      <c r="C6">
        <v>8</v>
      </c>
    </row>
    <row r="7" spans="1:3">
      <c r="A7" s="8" t="s">
        <v>41</v>
      </c>
      <c r="B7">
        <v>36580</v>
      </c>
      <c r="C7">
        <v>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B4A0-EC1E-49FC-83F6-4CE5A542C329}">
  <dimension ref="A1:Q212"/>
  <sheetViews>
    <sheetView tabSelected="1" topLeftCell="A25" workbookViewId="0">
      <selection activeCell="B104" sqref="B104"/>
    </sheetView>
  </sheetViews>
  <sheetFormatPr defaultRowHeight="14.4"/>
  <cols>
    <col min="1" max="1" width="10.6640625" bestFit="1" customWidth="1"/>
    <col min="2" max="2" width="9.33203125" style="1" bestFit="1" customWidth="1"/>
    <col min="3" max="3" width="9" bestFit="1" customWidth="1"/>
    <col min="4" max="4" width="13.6640625" bestFit="1" customWidth="1"/>
    <col min="5" max="5" width="18.33203125" bestFit="1" customWidth="1"/>
    <col min="6" max="6" width="18.33203125" customWidth="1"/>
    <col min="7" max="7" width="13.6640625" bestFit="1" customWidth="1"/>
    <col min="8" max="8" width="12.33203125" bestFit="1" customWidth="1"/>
    <col min="9" max="9" width="7.6640625" bestFit="1" customWidth="1"/>
    <col min="10" max="10" width="17.44140625" bestFit="1" customWidth="1"/>
    <col min="11" max="11" width="14.5546875" bestFit="1" customWidth="1"/>
    <col min="12" max="12" width="16.33203125" bestFit="1" customWidth="1"/>
    <col min="13" max="13" width="12.109375" customWidth="1"/>
    <col min="14" max="14" width="14.5546875" customWidth="1"/>
  </cols>
  <sheetData>
    <row r="1" spans="1:17">
      <c r="A1" t="s">
        <v>0</v>
      </c>
      <c r="B1" s="1" t="s">
        <v>1</v>
      </c>
      <c r="C1" t="s">
        <v>2</v>
      </c>
      <c r="D1" t="s">
        <v>3</v>
      </c>
      <c r="E1" t="s">
        <v>4</v>
      </c>
      <c r="F1" t="s">
        <v>38</v>
      </c>
      <c r="G1" t="s">
        <v>5</v>
      </c>
      <c r="H1" t="s">
        <v>6</v>
      </c>
      <c r="I1" t="s">
        <v>7</v>
      </c>
      <c r="J1" t="s">
        <v>30</v>
      </c>
      <c r="K1" t="s">
        <v>27</v>
      </c>
      <c r="L1" t="s">
        <v>8</v>
      </c>
      <c r="M1" t="s">
        <v>23</v>
      </c>
      <c r="N1" t="s">
        <v>25</v>
      </c>
      <c r="P1" t="s">
        <v>28</v>
      </c>
      <c r="Q1" t="s">
        <v>29</v>
      </c>
    </row>
    <row r="2" spans="1:17">
      <c r="A2">
        <v>1001</v>
      </c>
      <c r="B2" s="1">
        <v>45296</v>
      </c>
      <c r="C2" t="s">
        <v>9</v>
      </c>
      <c r="D2" t="s">
        <v>10</v>
      </c>
      <c r="E2" t="s">
        <v>11</v>
      </c>
      <c r="F2" t="str">
        <f>IF(G2&gt;2000,"High",IF(G2&gt;1000,"Medium","Low"))</f>
        <v>Medium</v>
      </c>
      <c r="G2">
        <v>1200</v>
      </c>
      <c r="H2">
        <v>5</v>
      </c>
      <c r="I2">
        <v>200</v>
      </c>
      <c r="J2" s="4">
        <f t="shared" ref="J2:J30" si="0">_xlfn.XLOOKUP(E2, $P$2:$P$4, $Q$2:$Q$4, "")</f>
        <v>0.14715519695153562</v>
      </c>
      <c r="K2" s="4">
        <f>IF(I2="", "", I2/G2)</f>
        <v>0.16666666666666666</v>
      </c>
      <c r="L2" t="s">
        <v>12</v>
      </c>
      <c r="M2">
        <f t="shared" ref="M2:M30" si="1">IFERROR(G2/H2,"")</f>
        <v>240</v>
      </c>
      <c r="N2">
        <f>IF(I2="", "", (G2-I2)/H2)</f>
        <v>200</v>
      </c>
      <c r="P2" t="s">
        <v>11</v>
      </c>
      <c r="Q2" s="3">
        <f>AVERAGEIFS(K:K, E:E, "Electronics")</f>
        <v>0.14715519695153562</v>
      </c>
    </row>
    <row r="3" spans="1:17">
      <c r="A3">
        <v>1002</v>
      </c>
      <c r="B3" s="1">
        <v>45299</v>
      </c>
      <c r="C3" t="s">
        <v>13</v>
      </c>
      <c r="D3" t="s">
        <v>14</v>
      </c>
      <c r="E3" t="s">
        <v>15</v>
      </c>
      <c r="F3" t="str">
        <f t="shared" ref="F3:F30" si="2">IF(G3&gt;2000,"High",IF(G3&gt;1000,"Medium","Low"))</f>
        <v>Low</v>
      </c>
      <c r="G3">
        <v>800</v>
      </c>
      <c r="H3">
        <v>3</v>
      </c>
      <c r="I3">
        <v>120</v>
      </c>
      <c r="J3" s="4">
        <f t="shared" si="0"/>
        <v>0.13013945335582763</v>
      </c>
      <c r="K3" s="4">
        <f t="shared" ref="K3:K30" si="3">IF(I3="", "", I3/G3)</f>
        <v>0.15</v>
      </c>
      <c r="L3" t="s">
        <v>22</v>
      </c>
      <c r="M3">
        <f t="shared" si="1"/>
        <v>266.66666666666669</v>
      </c>
      <c r="N3">
        <f t="shared" ref="N3:N30" si="4">IF(I3="", "", (G3-I3)/H3)</f>
        <v>226.66666666666666</v>
      </c>
      <c r="P3" t="s">
        <v>15</v>
      </c>
      <c r="Q3" s="3">
        <f>AVERAGEIFS(K:K, E:E, "Furniture")</f>
        <v>0.13013945335582763</v>
      </c>
    </row>
    <row r="4" spans="1:17">
      <c r="A4">
        <v>1003</v>
      </c>
      <c r="B4" s="1">
        <v>45303</v>
      </c>
      <c r="C4" t="s">
        <v>16</v>
      </c>
      <c r="D4" t="s">
        <v>10</v>
      </c>
      <c r="E4" t="s">
        <v>17</v>
      </c>
      <c r="F4" t="str">
        <f t="shared" si="2"/>
        <v>Low</v>
      </c>
      <c r="G4">
        <v>400</v>
      </c>
      <c r="H4">
        <v>10</v>
      </c>
      <c r="I4">
        <v>80</v>
      </c>
      <c r="J4" s="4">
        <f t="shared" si="0"/>
        <v>0.15334110787172012</v>
      </c>
      <c r="K4" s="4">
        <f t="shared" si="3"/>
        <v>0.2</v>
      </c>
      <c r="L4" t="s">
        <v>18</v>
      </c>
      <c r="M4">
        <f t="shared" si="1"/>
        <v>40</v>
      </c>
      <c r="N4">
        <f t="shared" si="4"/>
        <v>32</v>
      </c>
      <c r="P4" t="s">
        <v>17</v>
      </c>
      <c r="Q4" s="3">
        <f>AVERAGEIFS(K:K, E:E, "Stationery")</f>
        <v>0.15334110787172012</v>
      </c>
    </row>
    <row r="5" spans="1:17">
      <c r="A5">
        <v>1004</v>
      </c>
      <c r="B5" s="1">
        <v>45306</v>
      </c>
      <c r="C5" t="s">
        <v>19</v>
      </c>
      <c r="D5" t="s">
        <v>20</v>
      </c>
      <c r="E5" t="s">
        <v>11</v>
      </c>
      <c r="F5" t="str">
        <f t="shared" si="2"/>
        <v>High</v>
      </c>
      <c r="G5">
        <v>2500</v>
      </c>
      <c r="H5">
        <v>8</v>
      </c>
      <c r="I5">
        <v>350</v>
      </c>
      <c r="J5" s="4">
        <f t="shared" si="0"/>
        <v>0.14715519695153562</v>
      </c>
      <c r="K5" s="4">
        <f t="shared" si="3"/>
        <v>0.14000000000000001</v>
      </c>
      <c r="L5" t="s">
        <v>12</v>
      </c>
      <c r="M5">
        <f t="shared" si="1"/>
        <v>312.5</v>
      </c>
      <c r="N5">
        <f t="shared" si="4"/>
        <v>268.75</v>
      </c>
    </row>
    <row r="6" spans="1:17">
      <c r="A6">
        <v>1005</v>
      </c>
      <c r="B6" s="1">
        <v>45311</v>
      </c>
      <c r="C6" t="s">
        <v>9</v>
      </c>
      <c r="D6" t="s">
        <v>21</v>
      </c>
      <c r="E6" t="s">
        <v>15</v>
      </c>
      <c r="F6" t="str">
        <f t="shared" si="2"/>
        <v>Medium</v>
      </c>
      <c r="G6">
        <v>1100</v>
      </c>
      <c r="H6">
        <v>2</v>
      </c>
      <c r="I6">
        <v>160</v>
      </c>
      <c r="J6" s="4">
        <f t="shared" si="0"/>
        <v>0.13013945335582763</v>
      </c>
      <c r="K6" s="4">
        <f t="shared" si="3"/>
        <v>0.14545454545454545</v>
      </c>
      <c r="L6" t="s">
        <v>22</v>
      </c>
      <c r="M6">
        <f t="shared" si="1"/>
        <v>550</v>
      </c>
      <c r="N6">
        <f t="shared" si="4"/>
        <v>470</v>
      </c>
    </row>
    <row r="7" spans="1:17">
      <c r="A7">
        <v>1006</v>
      </c>
      <c r="B7" s="1">
        <v>45316</v>
      </c>
      <c r="C7" t="s">
        <v>16</v>
      </c>
      <c r="D7" t="s">
        <v>10</v>
      </c>
      <c r="E7" t="s">
        <v>17</v>
      </c>
      <c r="F7" t="str">
        <f t="shared" si="2"/>
        <v>Medium</v>
      </c>
      <c r="G7" s="2">
        <v>1200</v>
      </c>
      <c r="H7">
        <v>5</v>
      </c>
      <c r="I7">
        <v>60</v>
      </c>
      <c r="J7" s="4">
        <f t="shared" si="0"/>
        <v>0.15334110787172012</v>
      </c>
      <c r="K7" s="4">
        <f t="shared" si="3"/>
        <v>0.05</v>
      </c>
      <c r="L7" t="s">
        <v>18</v>
      </c>
      <c r="M7">
        <f t="shared" si="1"/>
        <v>240</v>
      </c>
      <c r="N7">
        <f t="shared" si="4"/>
        <v>228</v>
      </c>
    </row>
    <row r="8" spans="1:17">
      <c r="A8">
        <v>1008</v>
      </c>
      <c r="B8" s="1">
        <v>45324</v>
      </c>
      <c r="C8" t="s">
        <v>19</v>
      </c>
      <c r="D8" t="s">
        <v>20</v>
      </c>
      <c r="E8" t="s">
        <v>11</v>
      </c>
      <c r="F8" t="str">
        <f t="shared" si="2"/>
        <v>High</v>
      </c>
      <c r="G8">
        <v>2300</v>
      </c>
      <c r="H8">
        <v>7</v>
      </c>
      <c r="I8">
        <v>300</v>
      </c>
      <c r="J8" s="4">
        <f t="shared" si="0"/>
        <v>0.14715519695153562</v>
      </c>
      <c r="K8" s="4">
        <f t="shared" si="3"/>
        <v>0.13043478260869565</v>
      </c>
      <c r="L8" t="s">
        <v>12</v>
      </c>
      <c r="M8">
        <f t="shared" si="1"/>
        <v>328.57142857142856</v>
      </c>
      <c r="N8">
        <f t="shared" si="4"/>
        <v>285.71428571428572</v>
      </c>
    </row>
    <row r="9" spans="1:17">
      <c r="A9">
        <v>1009</v>
      </c>
      <c r="B9" s="1">
        <v>45327</v>
      </c>
      <c r="C9" t="s">
        <v>9</v>
      </c>
      <c r="D9" t="s">
        <v>21</v>
      </c>
      <c r="E9" t="s">
        <v>15</v>
      </c>
      <c r="F9" t="str">
        <f t="shared" si="2"/>
        <v>Low</v>
      </c>
      <c r="G9">
        <v>900</v>
      </c>
      <c r="H9">
        <v>2</v>
      </c>
      <c r="I9">
        <v>120</v>
      </c>
      <c r="J9" s="4">
        <f t="shared" si="0"/>
        <v>0.13013945335582763</v>
      </c>
      <c r="K9" s="4">
        <f t="shared" si="3"/>
        <v>0.13333333333333333</v>
      </c>
      <c r="L9" t="s">
        <v>22</v>
      </c>
      <c r="M9">
        <f t="shared" si="1"/>
        <v>450</v>
      </c>
      <c r="N9">
        <f t="shared" si="4"/>
        <v>390</v>
      </c>
    </row>
    <row r="10" spans="1:17">
      <c r="A10">
        <v>1010</v>
      </c>
      <c r="B10" s="1">
        <v>45475</v>
      </c>
      <c r="C10" t="s">
        <v>13</v>
      </c>
      <c r="D10" t="s">
        <v>14</v>
      </c>
      <c r="E10" t="s">
        <v>15</v>
      </c>
      <c r="F10" t="str">
        <f t="shared" si="2"/>
        <v>Medium</v>
      </c>
      <c r="G10" s="2">
        <v>1200</v>
      </c>
      <c r="H10">
        <v>4</v>
      </c>
      <c r="I10">
        <v>100</v>
      </c>
      <c r="J10" s="4">
        <f t="shared" si="0"/>
        <v>0.13013945335582763</v>
      </c>
      <c r="K10" s="4">
        <f t="shared" si="3"/>
        <v>8.3333333333333329E-2</v>
      </c>
      <c r="L10" t="s">
        <v>18</v>
      </c>
      <c r="M10">
        <f t="shared" si="1"/>
        <v>300</v>
      </c>
      <c r="N10">
        <f t="shared" si="4"/>
        <v>275</v>
      </c>
    </row>
    <row r="11" spans="1:17">
      <c r="A11">
        <v>1011</v>
      </c>
      <c r="B11" s="1">
        <v>45332</v>
      </c>
      <c r="C11" t="s">
        <v>16</v>
      </c>
      <c r="D11" t="s">
        <v>10</v>
      </c>
      <c r="E11" t="s">
        <v>17</v>
      </c>
      <c r="F11" t="str">
        <f t="shared" si="2"/>
        <v>Low</v>
      </c>
      <c r="G11">
        <v>450</v>
      </c>
      <c r="H11">
        <v>8</v>
      </c>
      <c r="I11">
        <v>75</v>
      </c>
      <c r="J11" s="4">
        <f t="shared" si="0"/>
        <v>0.15334110787172012</v>
      </c>
      <c r="K11" s="4">
        <f t="shared" si="3"/>
        <v>0.16666666666666666</v>
      </c>
      <c r="L11" t="s">
        <v>22</v>
      </c>
      <c r="M11">
        <f t="shared" si="1"/>
        <v>56.25</v>
      </c>
      <c r="N11">
        <f t="shared" si="4"/>
        <v>46.875</v>
      </c>
    </row>
    <row r="12" spans="1:17">
      <c r="A12">
        <v>1012</v>
      </c>
      <c r="B12" s="1">
        <v>45335</v>
      </c>
      <c r="C12" t="s">
        <v>19</v>
      </c>
      <c r="D12" t="s">
        <v>20</v>
      </c>
      <c r="E12" t="s">
        <v>11</v>
      </c>
      <c r="F12" t="str">
        <f t="shared" si="2"/>
        <v>High</v>
      </c>
      <c r="G12">
        <v>2700</v>
      </c>
      <c r="H12">
        <v>9</v>
      </c>
      <c r="I12">
        <v>393</v>
      </c>
      <c r="J12" s="4">
        <f t="shared" si="0"/>
        <v>0.14715519695153562</v>
      </c>
      <c r="K12" s="4">
        <f t="shared" si="3"/>
        <v>0.14555555555555555</v>
      </c>
      <c r="L12" t="s">
        <v>12</v>
      </c>
      <c r="M12">
        <f t="shared" si="1"/>
        <v>300</v>
      </c>
      <c r="N12">
        <f t="shared" si="4"/>
        <v>256.33333333333331</v>
      </c>
    </row>
    <row r="13" spans="1:17">
      <c r="A13">
        <v>1013</v>
      </c>
      <c r="B13" s="1">
        <v>45337</v>
      </c>
      <c r="C13" t="s">
        <v>9</v>
      </c>
      <c r="D13" t="s">
        <v>10</v>
      </c>
      <c r="E13" t="s">
        <v>11</v>
      </c>
      <c r="F13" t="str">
        <f t="shared" si="2"/>
        <v>Medium</v>
      </c>
      <c r="G13">
        <v>1900</v>
      </c>
      <c r="H13">
        <v>6</v>
      </c>
      <c r="I13">
        <v>250</v>
      </c>
      <c r="J13" s="4">
        <f t="shared" si="0"/>
        <v>0.14715519695153562</v>
      </c>
      <c r="K13" s="4">
        <f t="shared" si="3"/>
        <v>0.13157894736842105</v>
      </c>
      <c r="L13" t="s">
        <v>12</v>
      </c>
      <c r="M13">
        <f t="shared" si="1"/>
        <v>316.66666666666669</v>
      </c>
      <c r="N13">
        <f t="shared" si="4"/>
        <v>275</v>
      </c>
    </row>
    <row r="14" spans="1:17">
      <c r="A14">
        <v>1014</v>
      </c>
      <c r="B14" s="1">
        <v>45339</v>
      </c>
      <c r="C14" t="s">
        <v>13</v>
      </c>
      <c r="D14" t="s">
        <v>14</v>
      </c>
      <c r="E14" t="s">
        <v>15</v>
      </c>
      <c r="F14" t="str">
        <f t="shared" si="2"/>
        <v>Medium</v>
      </c>
      <c r="G14">
        <v>1050</v>
      </c>
      <c r="H14">
        <v>3</v>
      </c>
      <c r="I14">
        <v>140</v>
      </c>
      <c r="J14" s="4">
        <f t="shared" si="0"/>
        <v>0.13013945335582763</v>
      </c>
      <c r="K14" s="4">
        <f t="shared" si="3"/>
        <v>0.13333333333333333</v>
      </c>
      <c r="L14" t="s">
        <v>22</v>
      </c>
      <c r="M14">
        <f t="shared" si="1"/>
        <v>350</v>
      </c>
      <c r="N14">
        <f t="shared" si="4"/>
        <v>303.33333333333331</v>
      </c>
    </row>
    <row r="15" spans="1:17">
      <c r="A15">
        <v>1015</v>
      </c>
      <c r="B15" s="1">
        <v>45342</v>
      </c>
      <c r="C15" t="s">
        <v>13</v>
      </c>
      <c r="D15" t="s">
        <v>21</v>
      </c>
      <c r="E15" t="s">
        <v>15</v>
      </c>
      <c r="F15" t="str">
        <f t="shared" si="2"/>
        <v>Low</v>
      </c>
      <c r="G15">
        <v>800</v>
      </c>
      <c r="H15">
        <v>2</v>
      </c>
      <c r="I15">
        <v>104</v>
      </c>
      <c r="J15" s="4">
        <f t="shared" si="0"/>
        <v>0.13013945335582763</v>
      </c>
      <c r="K15" s="4">
        <f t="shared" si="3"/>
        <v>0.13</v>
      </c>
      <c r="L15" t="s">
        <v>22</v>
      </c>
      <c r="M15">
        <f t="shared" si="1"/>
        <v>400</v>
      </c>
      <c r="N15">
        <f t="shared" si="4"/>
        <v>348</v>
      </c>
    </row>
    <row r="16" spans="1:17">
      <c r="A16">
        <v>1016</v>
      </c>
      <c r="B16" s="1">
        <v>45344</v>
      </c>
      <c r="C16" t="s">
        <v>16</v>
      </c>
      <c r="D16" t="s">
        <v>10</v>
      </c>
      <c r="E16" t="s">
        <v>17</v>
      </c>
      <c r="F16" t="str">
        <f t="shared" si="2"/>
        <v>Low</v>
      </c>
      <c r="G16">
        <v>500</v>
      </c>
      <c r="H16">
        <v>10</v>
      </c>
      <c r="I16">
        <v>77</v>
      </c>
      <c r="J16" s="4">
        <f t="shared" si="0"/>
        <v>0.15334110787172012</v>
      </c>
      <c r="K16" s="4">
        <f t="shared" si="3"/>
        <v>0.154</v>
      </c>
      <c r="L16" t="s">
        <v>18</v>
      </c>
      <c r="M16">
        <f t="shared" si="1"/>
        <v>50</v>
      </c>
      <c r="N16">
        <f t="shared" si="4"/>
        <v>42.3</v>
      </c>
    </row>
    <row r="17" spans="1:14">
      <c r="A17">
        <v>1017</v>
      </c>
      <c r="B17" s="1">
        <v>45346</v>
      </c>
      <c r="C17" t="s">
        <v>19</v>
      </c>
      <c r="D17" t="s">
        <v>20</v>
      </c>
      <c r="E17" t="s">
        <v>11</v>
      </c>
      <c r="F17" t="str">
        <f t="shared" si="2"/>
        <v>High</v>
      </c>
      <c r="G17">
        <v>2200</v>
      </c>
      <c r="H17">
        <v>7</v>
      </c>
      <c r="I17">
        <v>310</v>
      </c>
      <c r="J17" s="4">
        <f t="shared" si="0"/>
        <v>0.14715519695153562</v>
      </c>
      <c r="K17" s="4">
        <f t="shared" si="3"/>
        <v>0.1409090909090909</v>
      </c>
      <c r="L17" t="s">
        <v>12</v>
      </c>
      <c r="M17">
        <f t="shared" si="1"/>
        <v>314.28571428571428</v>
      </c>
      <c r="N17">
        <f t="shared" si="4"/>
        <v>270</v>
      </c>
    </row>
    <row r="18" spans="1:14">
      <c r="A18">
        <v>1018</v>
      </c>
      <c r="B18" s="1">
        <v>45347</v>
      </c>
      <c r="C18" t="s">
        <v>9</v>
      </c>
      <c r="D18" t="s">
        <v>10</v>
      </c>
      <c r="E18" t="s">
        <v>11</v>
      </c>
      <c r="F18" t="str">
        <f t="shared" si="2"/>
        <v>Medium</v>
      </c>
      <c r="G18" s="2">
        <v>1200</v>
      </c>
      <c r="H18">
        <v>5</v>
      </c>
      <c r="I18">
        <v>220</v>
      </c>
      <c r="J18" s="4">
        <f t="shared" si="0"/>
        <v>0.14715519695153562</v>
      </c>
      <c r="K18" s="4">
        <f t="shared" si="3"/>
        <v>0.18333333333333332</v>
      </c>
      <c r="L18" t="s">
        <v>12</v>
      </c>
      <c r="M18">
        <f t="shared" si="1"/>
        <v>240</v>
      </c>
      <c r="N18">
        <f t="shared" si="4"/>
        <v>196</v>
      </c>
    </row>
    <row r="19" spans="1:14">
      <c r="A19">
        <v>1019</v>
      </c>
      <c r="B19" s="1">
        <v>45349</v>
      </c>
      <c r="C19" t="s">
        <v>9</v>
      </c>
      <c r="D19" t="s">
        <v>21</v>
      </c>
      <c r="E19" t="s">
        <v>15</v>
      </c>
      <c r="F19" t="str">
        <f t="shared" si="2"/>
        <v>Low</v>
      </c>
      <c r="G19">
        <v>950</v>
      </c>
      <c r="H19">
        <v>3</v>
      </c>
      <c r="I19">
        <v>124</v>
      </c>
      <c r="J19" s="4">
        <f t="shared" si="0"/>
        <v>0.13013945335582763</v>
      </c>
      <c r="K19" s="4">
        <f t="shared" si="3"/>
        <v>0.13052631578947368</v>
      </c>
      <c r="L19" t="s">
        <v>22</v>
      </c>
      <c r="M19">
        <f t="shared" si="1"/>
        <v>316.66666666666669</v>
      </c>
      <c r="N19">
        <f t="shared" si="4"/>
        <v>275.33333333333331</v>
      </c>
    </row>
    <row r="20" spans="1:14">
      <c r="A20">
        <v>1020</v>
      </c>
      <c r="B20" s="1">
        <v>45350</v>
      </c>
      <c r="C20" t="s">
        <v>13</v>
      </c>
      <c r="D20" t="s">
        <v>14</v>
      </c>
      <c r="E20" t="s">
        <v>15</v>
      </c>
      <c r="F20" t="str">
        <f t="shared" si="2"/>
        <v>Low</v>
      </c>
      <c r="G20">
        <v>780</v>
      </c>
      <c r="H20">
        <v>4</v>
      </c>
      <c r="I20">
        <v>95</v>
      </c>
      <c r="J20" s="4">
        <f t="shared" si="0"/>
        <v>0.13013945335582763</v>
      </c>
      <c r="K20" s="4">
        <f t="shared" si="3"/>
        <v>0.12179487179487179</v>
      </c>
      <c r="L20" t="s">
        <v>18</v>
      </c>
      <c r="M20">
        <f t="shared" si="1"/>
        <v>195</v>
      </c>
      <c r="N20">
        <f t="shared" si="4"/>
        <v>171.25</v>
      </c>
    </row>
    <row r="21" spans="1:14">
      <c r="A21">
        <v>1021</v>
      </c>
      <c r="B21" s="1">
        <v>45354</v>
      </c>
      <c r="C21" t="s">
        <v>16</v>
      </c>
      <c r="D21" t="s">
        <v>10</v>
      </c>
      <c r="E21" t="s">
        <v>17</v>
      </c>
      <c r="F21" t="str">
        <f t="shared" si="2"/>
        <v>Low</v>
      </c>
      <c r="G21">
        <v>480</v>
      </c>
      <c r="H21">
        <v>8</v>
      </c>
      <c r="I21">
        <v>80</v>
      </c>
      <c r="J21" s="4">
        <f t="shared" si="0"/>
        <v>0.15334110787172012</v>
      </c>
      <c r="K21" s="4">
        <f t="shared" si="3"/>
        <v>0.16666666666666666</v>
      </c>
      <c r="L21" t="s">
        <v>18</v>
      </c>
      <c r="M21">
        <f t="shared" si="1"/>
        <v>60</v>
      </c>
      <c r="N21">
        <f t="shared" si="4"/>
        <v>50</v>
      </c>
    </row>
    <row r="22" spans="1:14">
      <c r="A22">
        <v>1022</v>
      </c>
      <c r="B22" s="1">
        <v>45355</v>
      </c>
      <c r="C22" t="s">
        <v>19</v>
      </c>
      <c r="D22" t="s">
        <v>20</v>
      </c>
      <c r="E22" t="s">
        <v>11</v>
      </c>
      <c r="F22" t="str">
        <f t="shared" si="2"/>
        <v>High</v>
      </c>
      <c r="G22">
        <v>2100</v>
      </c>
      <c r="H22">
        <v>6</v>
      </c>
      <c r="I22">
        <v>310</v>
      </c>
      <c r="J22" s="4">
        <f t="shared" si="0"/>
        <v>0.14715519695153562</v>
      </c>
      <c r="K22" s="4">
        <f t="shared" si="3"/>
        <v>0.14761904761904762</v>
      </c>
      <c r="L22" t="s">
        <v>12</v>
      </c>
      <c r="M22">
        <f t="shared" si="1"/>
        <v>350</v>
      </c>
      <c r="N22">
        <f t="shared" si="4"/>
        <v>298.33333333333331</v>
      </c>
    </row>
    <row r="23" spans="1:14">
      <c r="A23">
        <v>1023</v>
      </c>
      <c r="B23" s="1">
        <v>45356</v>
      </c>
      <c r="C23" t="s">
        <v>9</v>
      </c>
      <c r="D23" t="s">
        <v>21</v>
      </c>
      <c r="E23" t="s">
        <v>15</v>
      </c>
      <c r="F23" t="str">
        <f t="shared" si="2"/>
        <v>Medium</v>
      </c>
      <c r="G23">
        <v>1050</v>
      </c>
      <c r="H23">
        <v>3</v>
      </c>
      <c r="I23">
        <v>145</v>
      </c>
      <c r="J23" s="4">
        <f t="shared" si="0"/>
        <v>0.13013945335582763</v>
      </c>
      <c r="K23" s="4">
        <f t="shared" si="3"/>
        <v>0.1380952380952381</v>
      </c>
      <c r="L23" t="s">
        <v>22</v>
      </c>
      <c r="M23">
        <f t="shared" si="1"/>
        <v>350</v>
      </c>
      <c r="N23">
        <f t="shared" si="4"/>
        <v>301.66666666666669</v>
      </c>
    </row>
    <row r="24" spans="1:14">
      <c r="A24">
        <v>1024</v>
      </c>
      <c r="B24" s="1">
        <v>45357</v>
      </c>
      <c r="C24" t="s">
        <v>16</v>
      </c>
      <c r="D24" t="s">
        <v>10</v>
      </c>
      <c r="E24" t="s">
        <v>17</v>
      </c>
      <c r="F24" t="str">
        <f t="shared" si="2"/>
        <v>Low</v>
      </c>
      <c r="G24">
        <v>420</v>
      </c>
      <c r="H24">
        <v>9</v>
      </c>
      <c r="I24">
        <v>64</v>
      </c>
      <c r="J24" s="4">
        <f t="shared" si="0"/>
        <v>0.15334110787172012</v>
      </c>
      <c r="K24" s="4">
        <f t="shared" si="3"/>
        <v>0.15238095238095239</v>
      </c>
      <c r="L24" t="s">
        <v>18</v>
      </c>
      <c r="M24">
        <f t="shared" si="1"/>
        <v>46.666666666666664</v>
      </c>
      <c r="N24">
        <f t="shared" si="4"/>
        <v>39.555555555555557</v>
      </c>
    </row>
    <row r="25" spans="1:14">
      <c r="A25">
        <v>1025</v>
      </c>
      <c r="B25" s="1">
        <v>45359</v>
      </c>
      <c r="C25" t="s">
        <v>19</v>
      </c>
      <c r="D25" t="s">
        <v>20</v>
      </c>
      <c r="E25" t="s">
        <v>11</v>
      </c>
      <c r="F25" t="str">
        <f t="shared" si="2"/>
        <v>High</v>
      </c>
      <c r="G25">
        <v>2500</v>
      </c>
      <c r="H25">
        <v>8</v>
      </c>
      <c r="I25">
        <v>350</v>
      </c>
      <c r="J25" s="4">
        <f t="shared" si="0"/>
        <v>0.14715519695153562</v>
      </c>
      <c r="K25" s="4">
        <f t="shared" si="3"/>
        <v>0.14000000000000001</v>
      </c>
      <c r="L25" t="s">
        <v>12</v>
      </c>
      <c r="M25">
        <f t="shared" si="1"/>
        <v>312.5</v>
      </c>
      <c r="N25">
        <f t="shared" si="4"/>
        <v>268.75</v>
      </c>
    </row>
    <row r="26" spans="1:14">
      <c r="A26">
        <v>1026</v>
      </c>
      <c r="B26" s="1">
        <v>45361</v>
      </c>
      <c r="C26" t="s">
        <v>9</v>
      </c>
      <c r="D26" t="s">
        <v>21</v>
      </c>
      <c r="E26" t="s">
        <v>15</v>
      </c>
      <c r="F26" t="str">
        <f t="shared" si="2"/>
        <v>Medium</v>
      </c>
      <c r="G26" s="2">
        <v>1200</v>
      </c>
      <c r="H26">
        <v>3</v>
      </c>
      <c r="I26">
        <v>156</v>
      </c>
      <c r="J26" s="4">
        <f t="shared" si="0"/>
        <v>0.13013945335582763</v>
      </c>
      <c r="K26" s="4">
        <f t="shared" si="3"/>
        <v>0.13</v>
      </c>
      <c r="L26" t="s">
        <v>22</v>
      </c>
      <c r="M26">
        <f t="shared" si="1"/>
        <v>400</v>
      </c>
      <c r="N26">
        <f t="shared" si="4"/>
        <v>348</v>
      </c>
    </row>
    <row r="27" spans="1:14">
      <c r="A27">
        <v>1027</v>
      </c>
      <c r="B27" s="1">
        <v>45363</v>
      </c>
      <c r="C27" t="s">
        <v>13</v>
      </c>
      <c r="D27" t="s">
        <v>14</v>
      </c>
      <c r="E27" t="s">
        <v>15</v>
      </c>
      <c r="F27" t="str">
        <f t="shared" si="2"/>
        <v>Low</v>
      </c>
      <c r="G27">
        <v>810</v>
      </c>
      <c r="H27">
        <v>2</v>
      </c>
      <c r="I27">
        <v>110</v>
      </c>
      <c r="J27" s="4">
        <f t="shared" si="0"/>
        <v>0.13013945335582763</v>
      </c>
      <c r="K27" s="4">
        <f t="shared" si="3"/>
        <v>0.13580246913580246</v>
      </c>
      <c r="L27" t="s">
        <v>22</v>
      </c>
      <c r="M27">
        <f t="shared" si="1"/>
        <v>405</v>
      </c>
      <c r="N27">
        <f t="shared" si="4"/>
        <v>350</v>
      </c>
    </row>
    <row r="28" spans="1:14">
      <c r="A28">
        <v>1028</v>
      </c>
      <c r="B28" s="1">
        <v>45365</v>
      </c>
      <c r="C28" t="s">
        <v>16</v>
      </c>
      <c r="D28" t="s">
        <v>10</v>
      </c>
      <c r="E28" t="s">
        <v>17</v>
      </c>
      <c r="F28" t="str">
        <f t="shared" si="2"/>
        <v>Low</v>
      </c>
      <c r="G28">
        <v>490</v>
      </c>
      <c r="H28">
        <v>8</v>
      </c>
      <c r="I28">
        <v>90</v>
      </c>
      <c r="J28" s="4">
        <f t="shared" si="0"/>
        <v>0.15334110787172012</v>
      </c>
      <c r="K28" s="4">
        <f t="shared" si="3"/>
        <v>0.18367346938775511</v>
      </c>
      <c r="L28" t="s">
        <v>18</v>
      </c>
      <c r="M28">
        <f t="shared" si="1"/>
        <v>61.25</v>
      </c>
      <c r="N28">
        <f t="shared" si="4"/>
        <v>50</v>
      </c>
    </row>
    <row r="29" spans="1:14">
      <c r="A29">
        <v>1029</v>
      </c>
      <c r="B29" s="1">
        <v>45367</v>
      </c>
      <c r="C29" t="s">
        <v>19</v>
      </c>
      <c r="D29" t="s">
        <v>20</v>
      </c>
      <c r="E29" t="s">
        <v>11</v>
      </c>
      <c r="F29" t="str">
        <f t="shared" si="2"/>
        <v>High</v>
      </c>
      <c r="G29">
        <v>2200</v>
      </c>
      <c r="H29">
        <v>7</v>
      </c>
      <c r="I29">
        <v>320</v>
      </c>
      <c r="J29" s="4">
        <f t="shared" si="0"/>
        <v>0.14715519695153562</v>
      </c>
      <c r="K29" s="4">
        <f t="shared" si="3"/>
        <v>0.14545454545454545</v>
      </c>
      <c r="L29" t="s">
        <v>12</v>
      </c>
      <c r="M29">
        <f t="shared" si="1"/>
        <v>314.28571428571428</v>
      </c>
      <c r="N29">
        <f t="shared" si="4"/>
        <v>268.57142857142856</v>
      </c>
    </row>
    <row r="30" spans="1:14">
      <c r="A30">
        <v>1030</v>
      </c>
      <c r="B30" s="1">
        <v>45369</v>
      </c>
      <c r="C30" t="s">
        <v>9</v>
      </c>
      <c r="D30" t="s">
        <v>21</v>
      </c>
      <c r="E30" t="s">
        <v>15</v>
      </c>
      <c r="F30" t="str">
        <f t="shared" si="2"/>
        <v>Medium</v>
      </c>
      <c r="G30" s="2">
        <v>1200</v>
      </c>
      <c r="H30">
        <v>2</v>
      </c>
      <c r="I30">
        <v>156</v>
      </c>
      <c r="J30" s="4">
        <f t="shared" si="0"/>
        <v>0.13013945335582763</v>
      </c>
      <c r="K30" s="4">
        <f t="shared" si="3"/>
        <v>0.13</v>
      </c>
      <c r="L30" t="s">
        <v>22</v>
      </c>
      <c r="M30">
        <f t="shared" si="1"/>
        <v>600</v>
      </c>
      <c r="N30">
        <f t="shared" si="4"/>
        <v>522</v>
      </c>
    </row>
    <row r="33" spans="2:17">
      <c r="G33">
        <f>AVERAGE(G2:G32)</f>
        <v>1261.3793103448277</v>
      </c>
      <c r="I33">
        <f>MAX(Table1[Profit])</f>
        <v>393</v>
      </c>
    </row>
    <row r="35" spans="2:17">
      <c r="Q35" t="s">
        <v>24</v>
      </c>
    </row>
    <row r="36" spans="2:17">
      <c r="Q36" t="s">
        <v>26</v>
      </c>
    </row>
    <row r="37" spans="2:17">
      <c r="Q37" t="s">
        <v>31</v>
      </c>
    </row>
    <row r="38" spans="2:17">
      <c r="Q38" s="5">
        <f>_xlfn.XLOOKUP(E2, $P$2:$P$4, $Q$2:$Q$4, "")</f>
        <v>0.14715519695153562</v>
      </c>
    </row>
    <row r="39" spans="2:17">
      <c r="Q39" t="s">
        <v>32</v>
      </c>
    </row>
    <row r="41" spans="2:17">
      <c r="Q41" t="s">
        <v>33</v>
      </c>
    </row>
    <row r="42" spans="2:17" ht="31.2">
      <c r="B42" s="13" t="s">
        <v>60</v>
      </c>
      <c r="Q42" s="5">
        <f>IF(I2&lt;&gt;"", I2, ROUND(G2*K2,0))</f>
        <v>200</v>
      </c>
    </row>
    <row r="43" spans="2:17">
      <c r="B43"/>
    </row>
    <row r="44" spans="2:17" ht="23.4">
      <c r="B44" s="14" t="s">
        <v>61</v>
      </c>
      <c r="Q44" t="s">
        <v>34</v>
      </c>
    </row>
    <row r="45" spans="2:17">
      <c r="B45"/>
      <c r="Q45" s="6" t="s">
        <v>35</v>
      </c>
    </row>
    <row r="46" spans="2:17">
      <c r="B46" t="s">
        <v>62</v>
      </c>
    </row>
    <row r="47" spans="2:17">
      <c r="B47"/>
      <c r="Q47" t="s">
        <v>36</v>
      </c>
    </row>
    <row r="48" spans="2:17">
      <c r="B48" t="s">
        <v>63</v>
      </c>
    </row>
    <row r="49" spans="2:2">
      <c r="B49" s="15"/>
    </row>
    <row r="50" spans="2:2">
      <c r="B50" s="15" t="s">
        <v>64</v>
      </c>
    </row>
    <row r="51" spans="2:2">
      <c r="B51" s="15"/>
    </row>
    <row r="52" spans="2:2">
      <c r="B52" s="15" t="s">
        <v>65</v>
      </c>
    </row>
    <row r="53" spans="2:2">
      <c r="B53" s="15"/>
    </row>
    <row r="54" spans="2:2">
      <c r="B54" s="15" t="s">
        <v>66</v>
      </c>
    </row>
    <row r="55" spans="2:2">
      <c r="B55" s="15"/>
    </row>
    <row r="56" spans="2:2">
      <c r="B56" s="15" t="s">
        <v>67</v>
      </c>
    </row>
    <row r="57" spans="2:2">
      <c r="B57" s="15"/>
    </row>
    <row r="58" spans="2:2">
      <c r="B58" s="15" t="s">
        <v>68</v>
      </c>
    </row>
    <row r="59" spans="2:2">
      <c r="B59" s="15"/>
    </row>
    <row r="60" spans="2:2">
      <c r="B60" s="15" t="s">
        <v>69</v>
      </c>
    </row>
    <row r="61" spans="2:2">
      <c r="B61"/>
    </row>
    <row r="62" spans="2:2">
      <c r="B62" t="s">
        <v>70</v>
      </c>
    </row>
    <row r="63" spans="2:2">
      <c r="B63"/>
    </row>
    <row r="64" spans="2:2">
      <c r="B64"/>
    </row>
    <row r="65" spans="2:2">
      <c r="B65"/>
    </row>
    <row r="66" spans="2:2" ht="31.2">
      <c r="B66" s="13" t="s">
        <v>71</v>
      </c>
    </row>
    <row r="67" spans="2:2">
      <c r="B67"/>
    </row>
    <row r="68" spans="2:2">
      <c r="B68" t="s">
        <v>72</v>
      </c>
    </row>
    <row r="69" spans="2:2">
      <c r="B69"/>
    </row>
    <row r="70" spans="2:2">
      <c r="B70" t="s">
        <v>73</v>
      </c>
    </row>
    <row r="71" spans="2:2">
      <c r="B71"/>
    </row>
    <row r="72" spans="2:2">
      <c r="B72" s="6" t="s">
        <v>74</v>
      </c>
    </row>
    <row r="73" spans="2:2">
      <c r="B73" s="15"/>
    </row>
    <row r="74" spans="2:2">
      <c r="B74" s="15" t="s">
        <v>75</v>
      </c>
    </row>
    <row r="75" spans="2:2">
      <c r="B75" s="15"/>
    </row>
    <row r="76" spans="2:2">
      <c r="B76" s="15" t="s">
        <v>76</v>
      </c>
    </row>
    <row r="77" spans="2:2">
      <c r="B77" s="15"/>
    </row>
    <row r="78" spans="2:2">
      <c r="B78" s="15" t="s">
        <v>77</v>
      </c>
    </row>
    <row r="79" spans="2:2">
      <c r="B79"/>
    </row>
    <row r="80" spans="2:2">
      <c r="B80" s="6" t="s">
        <v>78</v>
      </c>
    </row>
    <row r="81" spans="2:2">
      <c r="B81" s="15"/>
    </row>
    <row r="82" spans="2:2">
      <c r="B82" s="15" t="s">
        <v>79</v>
      </c>
    </row>
    <row r="83" spans="2:2">
      <c r="B83" s="15"/>
    </row>
    <row r="84" spans="2:2">
      <c r="B84" s="15" t="s">
        <v>80</v>
      </c>
    </row>
    <row r="85" spans="2:2">
      <c r="B85"/>
    </row>
    <row r="86" spans="2:2">
      <c r="B86" s="6" t="s">
        <v>81</v>
      </c>
    </row>
    <row r="87" spans="2:2">
      <c r="B87" t="s">
        <v>82</v>
      </c>
    </row>
    <row r="88" spans="2:2">
      <c r="B88"/>
    </row>
    <row r="89" spans="2:2">
      <c r="B89" s="6" t="s">
        <v>83</v>
      </c>
    </row>
    <row r="90" spans="2:2">
      <c r="B90" t="s">
        <v>84</v>
      </c>
    </row>
    <row r="91" spans="2:2">
      <c r="B91"/>
    </row>
    <row r="92" spans="2:2">
      <c r="B92" t="s">
        <v>85</v>
      </c>
    </row>
    <row r="93" spans="2:2">
      <c r="B93" s="12"/>
    </row>
    <row r="94" spans="2:2">
      <c r="B94" s="16" t="e">
        <f>TEXT(_xleta.DATE,"MMM-YYYY")</f>
        <v>#VALUE!</v>
      </c>
    </row>
    <row r="95" spans="2:2">
      <c r="B95"/>
    </row>
    <row r="96" spans="2:2">
      <c r="B96" s="6" t="s">
        <v>86</v>
      </c>
    </row>
    <row r="97" spans="2:2">
      <c r="B97" t="s">
        <v>87</v>
      </c>
    </row>
    <row r="98" spans="2:2">
      <c r="B98" s="12"/>
    </row>
    <row r="99" spans="2:2">
      <c r="B99" s="16" t="e" cm="1">
        <f t="array" ref="B99">Profit / Order_Value</f>
        <v>#NAME?</v>
      </c>
    </row>
    <row r="100" spans="2:2">
      <c r="B100"/>
    </row>
    <row r="101" spans="2:2">
      <c r="B101" s="6" t="s">
        <v>88</v>
      </c>
    </row>
    <row r="102" spans="2:2">
      <c r="B102" t="s">
        <v>89</v>
      </c>
    </row>
    <row r="103" spans="2:2">
      <c r="B103" s="12"/>
    </row>
    <row r="104" spans="2:2">
      <c r="B104" s="16" t="e" cm="1">
        <f t="array" ref="B104">IF(Order_Value&gt;2000,"High",)</f>
        <v>#NAME?</v>
      </c>
    </row>
    <row r="105" spans="2:2">
      <c r="B105" s="16" t="s">
        <v>90</v>
      </c>
    </row>
    <row r="106" spans="2:2">
      <c r="B106"/>
    </row>
    <row r="107" spans="2:2">
      <c r="B107" t="s">
        <v>91</v>
      </c>
    </row>
    <row r="108" spans="2:2">
      <c r="B108"/>
    </row>
    <row r="109" spans="2:2">
      <c r="B109"/>
    </row>
    <row r="110" spans="2:2">
      <c r="B110"/>
    </row>
    <row r="111" spans="2:2" ht="31.2">
      <c r="B111" s="13" t="s">
        <v>92</v>
      </c>
    </row>
    <row r="112" spans="2:2">
      <c r="B112"/>
    </row>
    <row r="113" spans="2:2">
      <c r="B113" t="s">
        <v>93</v>
      </c>
    </row>
    <row r="114" spans="2:2">
      <c r="B114"/>
    </row>
    <row r="115" spans="2:2">
      <c r="B115" t="s">
        <v>94</v>
      </c>
    </row>
    <row r="116" spans="2:2">
      <c r="B116"/>
    </row>
    <row r="117" spans="2:2">
      <c r="B117" s="6" t="s">
        <v>95</v>
      </c>
    </row>
    <row r="118" spans="2:2">
      <c r="B118" t="s">
        <v>96</v>
      </c>
    </row>
    <row r="119" spans="2:2">
      <c r="B119"/>
    </row>
    <row r="120" spans="2:2">
      <c r="B120" s="6" t="s">
        <v>97</v>
      </c>
    </row>
    <row r="121" spans="2:2">
      <c r="B121" t="s">
        <v>98</v>
      </c>
    </row>
    <row r="122" spans="2:2">
      <c r="B122"/>
    </row>
    <row r="123" spans="2:2">
      <c r="B123" s="6" t="s">
        <v>99</v>
      </c>
    </row>
    <row r="124" spans="2:2">
      <c r="B124" t="s">
        <v>100</v>
      </c>
    </row>
    <row r="125" spans="2:2">
      <c r="B125"/>
    </row>
    <row r="126" spans="2:2">
      <c r="B126" s="6" t="s">
        <v>101</v>
      </c>
    </row>
    <row r="127" spans="2:2">
      <c r="B127" t="s">
        <v>102</v>
      </c>
    </row>
    <row r="128" spans="2:2">
      <c r="B128"/>
    </row>
    <row r="129" spans="2:2">
      <c r="B129" s="6" t="s">
        <v>103</v>
      </c>
    </row>
    <row r="130" spans="2:2">
      <c r="B130" t="s">
        <v>104</v>
      </c>
    </row>
    <row r="131" spans="2:2">
      <c r="B131"/>
    </row>
    <row r="132" spans="2:2">
      <c r="B132" t="s">
        <v>105</v>
      </c>
    </row>
    <row r="133" spans="2:2">
      <c r="B133"/>
    </row>
    <row r="134" spans="2:2">
      <c r="B134"/>
    </row>
    <row r="135" spans="2:2">
      <c r="B135"/>
    </row>
    <row r="136" spans="2:2" ht="31.2">
      <c r="B136" s="13" t="s">
        <v>106</v>
      </c>
    </row>
    <row r="137" spans="2:2">
      <c r="B137"/>
    </row>
    <row r="138" spans="2:2">
      <c r="B138" t="s">
        <v>107</v>
      </c>
    </row>
    <row r="139" spans="2:2">
      <c r="B139"/>
    </row>
    <row r="140" spans="2:2">
      <c r="B140" t="s">
        <v>108</v>
      </c>
    </row>
    <row r="141" spans="2:2">
      <c r="B141"/>
    </row>
    <row r="142" spans="2:2">
      <c r="B142" s="6" t="s">
        <v>109</v>
      </c>
    </row>
    <row r="143" spans="2:2">
      <c r="B143" t="s">
        <v>110</v>
      </c>
    </row>
    <row r="144" spans="2:2">
      <c r="B144"/>
    </row>
    <row r="145" spans="2:2">
      <c r="B145" s="6" t="s">
        <v>111</v>
      </c>
    </row>
    <row r="146" spans="2:2">
      <c r="B146" t="s">
        <v>112</v>
      </c>
    </row>
    <row r="147" spans="2:2">
      <c r="B147"/>
    </row>
    <row r="148" spans="2:2">
      <c r="B148" s="6" t="s">
        <v>113</v>
      </c>
    </row>
    <row r="149" spans="2:2">
      <c r="B149" t="s">
        <v>114</v>
      </c>
    </row>
    <row r="150" spans="2:2">
      <c r="B150"/>
    </row>
    <row r="151" spans="2:2">
      <c r="B151" s="6" t="s">
        <v>115</v>
      </c>
    </row>
    <row r="152" spans="2:2">
      <c r="B152" t="s">
        <v>116</v>
      </c>
    </row>
    <row r="153" spans="2:2">
      <c r="B153"/>
    </row>
    <row r="154" spans="2:2">
      <c r="B154" s="6" t="s">
        <v>117</v>
      </c>
    </row>
    <row r="155" spans="2:2">
      <c r="B155" t="s">
        <v>118</v>
      </c>
    </row>
    <row r="156" spans="2:2">
      <c r="B156"/>
    </row>
    <row r="157" spans="2:2">
      <c r="B157"/>
    </row>
    <row r="158" spans="2:2">
      <c r="B158"/>
    </row>
    <row r="159" spans="2:2" ht="31.2">
      <c r="B159" s="13" t="s">
        <v>119</v>
      </c>
    </row>
    <row r="160" spans="2:2">
      <c r="B160"/>
    </row>
    <row r="161" spans="2:2">
      <c r="B161" t="s">
        <v>120</v>
      </c>
    </row>
    <row r="162" spans="2:2">
      <c r="B162"/>
    </row>
    <row r="163" spans="2:2">
      <c r="B163" t="s">
        <v>121</v>
      </c>
    </row>
    <row r="164" spans="2:2">
      <c r="B164"/>
    </row>
    <row r="165" spans="2:2">
      <c r="B165" s="6" t="s">
        <v>122</v>
      </c>
    </row>
    <row r="166" spans="2:2">
      <c r="B166" t="s">
        <v>123</v>
      </c>
    </row>
    <row r="167" spans="2:2">
      <c r="B167" s="15"/>
    </row>
    <row r="168" spans="2:2">
      <c r="B168" s="15" t="s">
        <v>2</v>
      </c>
    </row>
    <row r="169" spans="2:2">
      <c r="B169" s="15"/>
    </row>
    <row r="170" spans="2:2">
      <c r="B170" s="15" t="s">
        <v>3</v>
      </c>
    </row>
    <row r="171" spans="2:2">
      <c r="B171" s="15"/>
    </row>
    <row r="172" spans="2:2">
      <c r="B172" s="15" t="s">
        <v>124</v>
      </c>
    </row>
    <row r="173" spans="2:2">
      <c r="B173"/>
    </row>
    <row r="174" spans="2:2">
      <c r="B174" s="6" t="s">
        <v>125</v>
      </c>
    </row>
    <row r="175" spans="2:2">
      <c r="B175" t="s">
        <v>126</v>
      </c>
    </row>
    <row r="176" spans="2:2">
      <c r="B176"/>
    </row>
    <row r="177" spans="2:2">
      <c r="B177" t="s">
        <v>127</v>
      </c>
    </row>
    <row r="178" spans="2:2">
      <c r="B178"/>
    </row>
    <row r="179" spans="2:2">
      <c r="B179"/>
    </row>
    <row r="180" spans="2:2">
      <c r="B180"/>
    </row>
    <row r="181" spans="2:2" ht="31.2">
      <c r="B181" s="13" t="s">
        <v>128</v>
      </c>
    </row>
    <row r="182" spans="2:2">
      <c r="B182"/>
    </row>
    <row r="183" spans="2:2">
      <c r="B183" t="s">
        <v>129</v>
      </c>
    </row>
    <row r="184" spans="2:2">
      <c r="B184"/>
    </row>
    <row r="185" spans="2:2">
      <c r="B185" s="6" t="s">
        <v>130</v>
      </c>
    </row>
    <row r="186" spans="2:2">
      <c r="B186" t="s">
        <v>131</v>
      </c>
    </row>
    <row r="187" spans="2:2">
      <c r="B187"/>
    </row>
    <row r="188" spans="2:2">
      <c r="B188" s="6" t="s">
        <v>132</v>
      </c>
    </row>
    <row r="189" spans="2:2">
      <c r="B189" t="s">
        <v>133</v>
      </c>
    </row>
    <row r="190" spans="2:2">
      <c r="B190"/>
    </row>
    <row r="191" spans="2:2">
      <c r="B191" s="6" t="s">
        <v>134</v>
      </c>
    </row>
    <row r="192" spans="2:2">
      <c r="B192" t="s">
        <v>135</v>
      </c>
    </row>
    <row r="193" spans="2:2">
      <c r="B193"/>
    </row>
    <row r="194" spans="2:2">
      <c r="B194" t="s">
        <v>136</v>
      </c>
    </row>
    <row r="195" spans="2:2">
      <c r="B195"/>
    </row>
    <row r="196" spans="2:2">
      <c r="B196"/>
    </row>
    <row r="197" spans="2:2">
      <c r="B197"/>
    </row>
    <row r="198" spans="2:2" ht="31.2">
      <c r="B198" s="13" t="s">
        <v>137</v>
      </c>
    </row>
    <row r="199" spans="2:2">
      <c r="B199"/>
    </row>
    <row r="200" spans="2:2">
      <c r="B200" t="s">
        <v>138</v>
      </c>
    </row>
    <row r="201" spans="2:2">
      <c r="B201" s="15"/>
    </row>
    <row r="202" spans="2:2">
      <c r="B202" s="15" t="s">
        <v>139</v>
      </c>
    </row>
    <row r="203" spans="2:2">
      <c r="B203" s="15"/>
    </row>
    <row r="204" spans="2:2">
      <c r="B204" s="15" t="s">
        <v>140</v>
      </c>
    </row>
    <row r="205" spans="2:2">
      <c r="B205" s="15"/>
    </row>
    <row r="206" spans="2:2">
      <c r="B206" s="15" t="s">
        <v>141</v>
      </c>
    </row>
    <row r="207" spans="2:2">
      <c r="B207" s="15"/>
    </row>
    <row r="208" spans="2:2">
      <c r="B208" s="15" t="s">
        <v>142</v>
      </c>
    </row>
    <row r="209" spans="2:2">
      <c r="B209" s="15"/>
    </row>
    <row r="210" spans="2:2">
      <c r="B210" s="15" t="s">
        <v>143</v>
      </c>
    </row>
    <row r="211" spans="2:2">
      <c r="B211"/>
    </row>
    <row r="212" spans="2:2">
      <c r="B212" t="s">
        <v>144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Region</vt:lpstr>
      <vt:lpstr>Dashboard</vt:lpstr>
      <vt:lpstr>Sheet6</vt:lpstr>
      <vt:lpstr>Sales by Salesperson</vt:lpstr>
      <vt:lpstr>Profit by Product Category</vt:lpstr>
      <vt:lpstr>Monthly Sales Trend</vt:lpstr>
      <vt:lpstr>Payment Mode Breakdown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Diane King</cp:lastModifiedBy>
  <dcterms:created xsi:type="dcterms:W3CDTF">2026-03-03T15:42:44Z</dcterms:created>
  <dcterms:modified xsi:type="dcterms:W3CDTF">2026-03-04T21:23:32Z</dcterms:modified>
</cp:coreProperties>
</file>